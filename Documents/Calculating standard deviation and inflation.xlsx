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ak\OneDrive\Desktop\FIRE Wealth Advisers\Portfolio construction tool\Think Numbers\"/>
    </mc:Choice>
  </mc:AlternateContent>
  <xr:revisionPtr revIDLastSave="0" documentId="13_ncr:1_{EC714318-7652-4C1D-B29F-722FD0C5D806}" xr6:coauthVersionLast="47" xr6:coauthVersionMax="47" xr10:uidLastSave="{00000000-0000-0000-0000-000000000000}"/>
  <bookViews>
    <workbookView xWindow="14295" yWindow="0" windowWidth="14610" windowHeight="15585" activeTab="1" xr2:uid="{B20E0CF3-AA53-4E05-85B7-5ADD15A33C21}"/>
  </bookViews>
  <sheets>
    <sheet name="Standard Deviation" sheetId="1" r:id="rId1"/>
    <sheet name="Infl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C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" i="1"/>
  <c r="D3" i="1"/>
  <c r="C3" i="1"/>
  <c r="B4" i="1" s="1"/>
  <c r="C4" i="1" l="1"/>
  <c r="D4" i="1"/>
  <c r="B5" i="1" l="1"/>
  <c r="C5" i="1"/>
  <c r="D5" i="1"/>
  <c r="C6" i="1" l="1"/>
  <c r="B6" i="1"/>
  <c r="D6" i="1"/>
  <c r="B7" i="1" l="1"/>
  <c r="C7" i="1"/>
  <c r="D7" i="1"/>
  <c r="D8" i="1" l="1"/>
  <c r="B8" i="1"/>
  <c r="C8" i="1"/>
  <c r="B9" i="1" l="1"/>
  <c r="C9" i="1"/>
  <c r="D9" i="1"/>
  <c r="C10" i="1" l="1"/>
  <c r="D10" i="1"/>
  <c r="B10" i="1"/>
  <c r="B11" i="1" l="1"/>
  <c r="C11" i="1"/>
  <c r="D11" i="1"/>
  <c r="C12" i="1" l="1"/>
  <c r="B12" i="1"/>
  <c r="D12" i="1"/>
  <c r="C13" i="1" l="1"/>
  <c r="D13" i="1"/>
  <c r="B13" i="1"/>
  <c r="B14" i="1" l="1"/>
  <c r="C14" i="1"/>
  <c r="D14" i="1"/>
  <c r="C15" i="1" l="1"/>
  <c r="B15" i="1"/>
  <c r="D15" i="1"/>
  <c r="B16" i="1" l="1"/>
  <c r="C16" i="1"/>
  <c r="D16" i="1"/>
  <c r="B17" i="1" l="1"/>
  <c r="C17" i="1"/>
  <c r="D17" i="1"/>
  <c r="B18" i="1" l="1"/>
  <c r="C18" i="1"/>
  <c r="D18" i="1"/>
  <c r="C19" i="1" l="1"/>
  <c r="D19" i="1"/>
  <c r="B19" i="1"/>
  <c r="B20" i="1" l="1"/>
  <c r="C20" i="1"/>
  <c r="D20" i="1"/>
  <c r="B21" i="1" l="1"/>
  <c r="C21" i="1"/>
  <c r="D21" i="1"/>
  <c r="B22" i="1" l="1"/>
  <c r="C22" i="1"/>
  <c r="D22" i="1"/>
  <c r="C23" i="1" l="1"/>
  <c r="B23" i="1"/>
  <c r="D23" i="1"/>
  <c r="B24" i="1" l="1"/>
  <c r="C24" i="1"/>
  <c r="D24" i="1"/>
  <c r="B25" i="1" l="1"/>
  <c r="C25" i="1"/>
  <c r="D25" i="1"/>
  <c r="B26" i="1" l="1"/>
  <c r="C26" i="1"/>
  <c r="D26" i="1"/>
  <c r="C27" i="1" l="1"/>
  <c r="D27" i="1"/>
  <c r="B27" i="1"/>
  <c r="B28" i="1" l="1"/>
  <c r="C28" i="1"/>
  <c r="D28" i="1"/>
  <c r="B29" i="1" l="1"/>
  <c r="D29" i="1"/>
  <c r="C29" i="1"/>
  <c r="C30" i="1" l="1"/>
  <c r="D30" i="1"/>
  <c r="B30" i="1"/>
  <c r="B31" i="1" l="1"/>
  <c r="C31" i="1"/>
  <c r="D31" i="1"/>
  <c r="C32" i="1" l="1"/>
  <c r="B32" i="1"/>
  <c r="D32" i="1"/>
</calcChain>
</file>

<file path=xl/sharedStrings.xml><?xml version="1.0" encoding="utf-8"?>
<sst xmlns="http://schemas.openxmlformats.org/spreadsheetml/2006/main" count="10" uniqueCount="9">
  <si>
    <t>Downside (2 SD)</t>
  </si>
  <si>
    <t>Median</t>
  </si>
  <si>
    <t>Upside (1 SD)</t>
  </si>
  <si>
    <t>Year</t>
  </si>
  <si>
    <t>Return</t>
  </si>
  <si>
    <t>Risk</t>
  </si>
  <si>
    <t>Nominal</t>
  </si>
  <si>
    <t>Real</t>
  </si>
  <si>
    <t>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</si>
</sst>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6" fontId="0" fillId="0" borderId="0" xfId="0" applyNumberForma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10" fontId="0" fillId="2" borderId="0" xfId="0" applyNumberFormat="1" applyFill="1" applyBorder="1"/>
    <xf numFmtId="10" fontId="0" fillId="2" borderId="0" xfId="0" applyNumberFormat="1" applyFill="1"/>
    <xf numFmtId="169" fontId="0" fillId="0" borderId="0" xfId="1" applyNumberFormat="1" applyFont="1"/>
    <xf numFmtId="0" fontId="2" fillId="0" borderId="0" xfId="0" applyFont="1" applyBorder="1" applyAlignment="1">
      <alignment vertical="center" wrapText="1"/>
    </xf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042C8-7EB2-4AAB-ABAB-2AEE1279C21D}">
  <dimension ref="A1:G32"/>
  <sheetViews>
    <sheetView workbookViewId="0">
      <selection sqref="A1:D1"/>
    </sheetView>
  </sheetViews>
  <sheetFormatPr defaultRowHeight="15" x14ac:dyDescent="0.25"/>
  <cols>
    <col min="1" max="1" width="4.85546875" style="2" bestFit="1" customWidth="1"/>
    <col min="2" max="2" width="15.5703125" style="2" bestFit="1" customWidth="1"/>
    <col min="3" max="3" width="10.5703125" style="2" bestFit="1" customWidth="1"/>
    <col min="4" max="4" width="12.7109375" style="2" bestFit="1" customWidth="1"/>
    <col min="5" max="16384" width="9.140625" style="2"/>
  </cols>
  <sheetData>
    <row r="1" spans="1:7" ht="30" x14ac:dyDescent="0.25">
      <c r="A1" s="8" t="s">
        <v>3</v>
      </c>
      <c r="B1" s="8" t="s">
        <v>0</v>
      </c>
      <c r="C1" s="8" t="s">
        <v>1</v>
      </c>
      <c r="D1" s="8" t="s">
        <v>2</v>
      </c>
      <c r="F1" s="4" t="s">
        <v>4</v>
      </c>
      <c r="G1" s="5">
        <v>3.9E-2</v>
      </c>
    </row>
    <row r="2" spans="1:7" x14ac:dyDescent="0.25">
      <c r="A2" s="1">
        <v>0</v>
      </c>
      <c r="B2" s="1"/>
      <c r="C2" s="3">
        <v>1000000</v>
      </c>
      <c r="D2" s="1"/>
      <c r="F2" s="2" t="s">
        <v>5</v>
      </c>
      <c r="G2" s="5">
        <v>5.0999999999999997E-2</v>
      </c>
    </row>
    <row r="3" spans="1:7" x14ac:dyDescent="0.25">
      <c r="A3" s="1">
        <v>1</v>
      </c>
      <c r="B3" s="3">
        <f>-C2-(C2*($G$1-$G$2-$G$2))</f>
        <v>-937000</v>
      </c>
      <c r="C3" s="3">
        <f>C2+(C2*$G$1)</f>
        <v>1039000</v>
      </c>
      <c r="D3" s="3">
        <f>C2+(C2*($G$1+$G$2))</f>
        <v>1090000</v>
      </c>
    </row>
    <row r="4" spans="1:7" x14ac:dyDescent="0.25">
      <c r="A4" s="1">
        <v>2</v>
      </c>
      <c r="B4" s="3">
        <f>-C3-(C3*($G$1-$G$2-$G$2))</f>
        <v>-973543</v>
      </c>
      <c r="C4" s="3">
        <f>C3+(C3*$G$1)</f>
        <v>1079521</v>
      </c>
      <c r="D4" s="3">
        <f>C3+(C3*($G$1+$G$2))</f>
        <v>1132510</v>
      </c>
    </row>
    <row r="5" spans="1:7" x14ac:dyDescent="0.25">
      <c r="A5" s="1">
        <v>3</v>
      </c>
      <c r="B5" s="3">
        <f t="shared" ref="B5:B32" si="0">-C4-(C4*($G$1-$G$2-$G$2))</f>
        <v>-1011511.177</v>
      </c>
      <c r="C5" s="3">
        <f t="shared" ref="C5:C13" si="1">C4+(C4*$G$1)</f>
        <v>1121622.3189999999</v>
      </c>
      <c r="D5" s="3">
        <f t="shared" ref="D5:D32" si="2">C4+(C4*($G$1+$G$2))</f>
        <v>1176677.8899999999</v>
      </c>
    </row>
    <row r="6" spans="1:7" x14ac:dyDescent="0.25">
      <c r="A6" s="1">
        <v>4</v>
      </c>
      <c r="B6" s="3">
        <f t="shared" si="0"/>
        <v>-1050960.1129029999</v>
      </c>
      <c r="C6" s="3">
        <f t="shared" si="1"/>
        <v>1165365.5894409998</v>
      </c>
      <c r="D6" s="3">
        <f t="shared" si="2"/>
        <v>1222568.3277099999</v>
      </c>
    </row>
    <row r="7" spans="1:7" x14ac:dyDescent="0.25">
      <c r="A7" s="1">
        <v>5</v>
      </c>
      <c r="B7" s="3">
        <f t="shared" si="0"/>
        <v>-1091947.5573062168</v>
      </c>
      <c r="C7" s="3">
        <f t="shared" si="1"/>
        <v>1210814.8474291987</v>
      </c>
      <c r="D7" s="3">
        <f t="shared" si="2"/>
        <v>1270248.4924906897</v>
      </c>
    </row>
    <row r="8" spans="1:7" x14ac:dyDescent="0.25">
      <c r="A8" s="1">
        <v>6</v>
      </c>
      <c r="B8" s="3">
        <f t="shared" si="0"/>
        <v>-1134533.5120411592</v>
      </c>
      <c r="C8" s="3">
        <f t="shared" si="1"/>
        <v>1258036.6264789375</v>
      </c>
      <c r="D8" s="3">
        <f t="shared" si="2"/>
        <v>1319788.1836978265</v>
      </c>
    </row>
    <row r="9" spans="1:7" x14ac:dyDescent="0.25">
      <c r="A9" s="1">
        <v>7</v>
      </c>
      <c r="B9" s="3">
        <f t="shared" si="0"/>
        <v>-1178780.3190107644</v>
      </c>
      <c r="C9" s="3">
        <f t="shared" si="1"/>
        <v>1307100.054911616</v>
      </c>
      <c r="D9" s="3">
        <f t="shared" si="2"/>
        <v>1371259.9228620417</v>
      </c>
    </row>
    <row r="10" spans="1:7" x14ac:dyDescent="0.25">
      <c r="A10" s="1">
        <v>8</v>
      </c>
      <c r="B10" s="3">
        <f t="shared" si="0"/>
        <v>-1224752.7514521843</v>
      </c>
      <c r="C10" s="3">
        <f t="shared" si="1"/>
        <v>1358076.9570531691</v>
      </c>
      <c r="D10" s="3">
        <f t="shared" si="2"/>
        <v>1424739.0598536616</v>
      </c>
    </row>
    <row r="11" spans="1:7" x14ac:dyDescent="0.25">
      <c r="A11" s="1">
        <v>9</v>
      </c>
      <c r="B11" s="3">
        <f t="shared" si="0"/>
        <v>-1272518.1087588195</v>
      </c>
      <c r="C11" s="3">
        <f t="shared" si="1"/>
        <v>1411041.9583782428</v>
      </c>
      <c r="D11" s="3">
        <f t="shared" si="2"/>
        <v>1480303.8831879543</v>
      </c>
    </row>
    <row r="12" spans="1:7" x14ac:dyDescent="0.25">
      <c r="A12" s="1">
        <v>10</v>
      </c>
      <c r="B12" s="3">
        <f t="shared" si="0"/>
        <v>-1322146.3150004135</v>
      </c>
      <c r="C12" s="3">
        <f>C11+(C11*$G$1)</f>
        <v>1466072.5947549944</v>
      </c>
      <c r="D12" s="3">
        <f t="shared" si="2"/>
        <v>1538035.7346322846</v>
      </c>
    </row>
    <row r="13" spans="1:7" x14ac:dyDescent="0.25">
      <c r="A13" s="1">
        <v>11</v>
      </c>
      <c r="B13" s="3">
        <f t="shared" si="0"/>
        <v>-1373710.0212854298</v>
      </c>
      <c r="C13" s="3">
        <f t="shared" si="1"/>
        <v>1523249.4259504392</v>
      </c>
      <c r="D13" s="3">
        <f t="shared" si="2"/>
        <v>1598019.1282829437</v>
      </c>
    </row>
    <row r="14" spans="1:7" x14ac:dyDescent="0.25">
      <c r="A14" s="1">
        <v>12</v>
      </c>
      <c r="B14" s="3">
        <f t="shared" si="0"/>
        <v>-1427284.7121155616</v>
      </c>
      <c r="C14" s="3">
        <f t="shared" ref="C14:C29" si="3">C13+(C13*$G$1)</f>
        <v>1582656.1535625062</v>
      </c>
      <c r="D14" s="3">
        <f t="shared" si="2"/>
        <v>1660341.8742859787</v>
      </c>
    </row>
    <row r="15" spans="1:7" x14ac:dyDescent="0.25">
      <c r="A15" s="1">
        <v>13</v>
      </c>
      <c r="B15" s="3">
        <f t="shared" si="0"/>
        <v>-1482948.8158880684</v>
      </c>
      <c r="C15" s="3">
        <f t="shared" si="3"/>
        <v>1644379.743551444</v>
      </c>
      <c r="D15" s="3">
        <f t="shared" si="2"/>
        <v>1725095.2073831318</v>
      </c>
    </row>
    <row r="16" spans="1:7" x14ac:dyDescent="0.25">
      <c r="A16" s="1">
        <v>14</v>
      </c>
      <c r="B16" s="3">
        <f t="shared" si="0"/>
        <v>-1540783.8197077031</v>
      </c>
      <c r="C16" s="3">
        <f t="shared" si="3"/>
        <v>1708510.5535499502</v>
      </c>
      <c r="D16" s="3">
        <f t="shared" si="2"/>
        <v>1792373.9204710741</v>
      </c>
    </row>
    <row r="17" spans="1:4" x14ac:dyDescent="0.25">
      <c r="A17" s="1">
        <v>15</v>
      </c>
      <c r="B17" s="3">
        <f t="shared" si="0"/>
        <v>-1600874.3886763034</v>
      </c>
      <c r="C17" s="3">
        <f t="shared" si="3"/>
        <v>1775142.4651383983</v>
      </c>
      <c r="D17" s="3">
        <f t="shared" si="2"/>
        <v>1862276.5033694457</v>
      </c>
    </row>
    <row r="18" spans="1:4" x14ac:dyDescent="0.25">
      <c r="A18" s="1">
        <v>16</v>
      </c>
      <c r="B18" s="3">
        <f t="shared" si="0"/>
        <v>-1663308.4898346793</v>
      </c>
      <c r="C18" s="3">
        <f t="shared" si="3"/>
        <v>1844373.0212787958</v>
      </c>
      <c r="D18" s="3">
        <f t="shared" si="2"/>
        <v>1934905.2870008543</v>
      </c>
    </row>
    <row r="19" spans="1:4" x14ac:dyDescent="0.25">
      <c r="A19" s="1">
        <v>17</v>
      </c>
      <c r="B19" s="3">
        <f t="shared" si="0"/>
        <v>-1728177.5209382316</v>
      </c>
      <c r="C19" s="3">
        <f t="shared" si="3"/>
        <v>1916303.5691086687</v>
      </c>
      <c r="D19" s="3">
        <f t="shared" si="2"/>
        <v>2010366.5931938875</v>
      </c>
    </row>
    <row r="20" spans="1:4" x14ac:dyDescent="0.25">
      <c r="A20" s="1">
        <v>18</v>
      </c>
      <c r="B20" s="3">
        <f t="shared" si="0"/>
        <v>-1795576.4442548226</v>
      </c>
      <c r="C20" s="3">
        <f t="shared" si="3"/>
        <v>1991039.4083039067</v>
      </c>
      <c r="D20" s="3">
        <f t="shared" si="2"/>
        <v>2088770.890328449</v>
      </c>
    </row>
    <row r="21" spans="1:4" x14ac:dyDescent="0.25">
      <c r="A21" s="1">
        <v>19</v>
      </c>
      <c r="B21" s="3">
        <f t="shared" si="0"/>
        <v>-1865603.9255807605</v>
      </c>
      <c r="C21" s="3">
        <f t="shared" si="3"/>
        <v>2068689.945227759</v>
      </c>
      <c r="D21" s="3">
        <f t="shared" si="2"/>
        <v>2170232.9550512582</v>
      </c>
    </row>
    <row r="22" spans="1:4" x14ac:dyDescent="0.25">
      <c r="A22" s="1">
        <v>20</v>
      </c>
      <c r="B22" s="3">
        <f t="shared" si="0"/>
        <v>-1938362.4786784102</v>
      </c>
      <c r="C22" s="3">
        <f t="shared" si="3"/>
        <v>2149368.8530916413</v>
      </c>
      <c r="D22" s="3">
        <f t="shared" si="2"/>
        <v>2254872.040298257</v>
      </c>
    </row>
    <row r="23" spans="1:4" x14ac:dyDescent="0.25">
      <c r="A23" s="1">
        <v>21</v>
      </c>
      <c r="B23" s="3">
        <f t="shared" si="0"/>
        <v>-2013958.6153468678</v>
      </c>
      <c r="C23" s="3">
        <f t="shared" si="3"/>
        <v>2233194.2383622155</v>
      </c>
      <c r="D23" s="3">
        <f t="shared" si="2"/>
        <v>2342812.0498698889</v>
      </c>
    </row>
    <row r="24" spans="1:4" x14ac:dyDescent="0.25">
      <c r="A24" s="1">
        <v>22</v>
      </c>
      <c r="B24" s="3">
        <f t="shared" si="0"/>
        <v>-2092503.0013453958</v>
      </c>
      <c r="C24" s="3">
        <f t="shared" si="3"/>
        <v>2320288.8136583418</v>
      </c>
      <c r="D24" s="3">
        <f t="shared" si="2"/>
        <v>2434181.7198148146</v>
      </c>
    </row>
    <row r="25" spans="1:4" x14ac:dyDescent="0.25">
      <c r="A25" s="1">
        <v>23</v>
      </c>
      <c r="B25" s="3">
        <f t="shared" si="0"/>
        <v>-2174110.6183978664</v>
      </c>
      <c r="C25" s="3">
        <f t="shared" si="3"/>
        <v>2410780.0773910172</v>
      </c>
      <c r="D25" s="3">
        <f t="shared" si="2"/>
        <v>2529114.8068875927</v>
      </c>
    </row>
    <row r="26" spans="1:4" x14ac:dyDescent="0.25">
      <c r="A26" s="1">
        <v>24</v>
      </c>
      <c r="B26" s="3">
        <f t="shared" si="0"/>
        <v>-2258900.9325153832</v>
      </c>
      <c r="C26" s="3">
        <f t="shared" si="3"/>
        <v>2504800.5004092669</v>
      </c>
      <c r="D26" s="3">
        <f t="shared" si="2"/>
        <v>2627750.284356209</v>
      </c>
    </row>
    <row r="27" spans="1:4" x14ac:dyDescent="0.25">
      <c r="A27" s="1">
        <v>25</v>
      </c>
      <c r="B27" s="3">
        <f t="shared" si="0"/>
        <v>-2346998.0688834833</v>
      </c>
      <c r="C27" s="3">
        <f t="shared" si="3"/>
        <v>2602487.7199252285</v>
      </c>
      <c r="D27" s="3">
        <f t="shared" si="2"/>
        <v>2730232.5454461011</v>
      </c>
    </row>
    <row r="28" spans="1:4" x14ac:dyDescent="0.25">
      <c r="A28" s="1">
        <v>26</v>
      </c>
      <c r="B28" s="3">
        <f t="shared" si="0"/>
        <v>-2438530.9935699389</v>
      </c>
      <c r="C28" s="3">
        <f t="shared" si="3"/>
        <v>2703984.7410023124</v>
      </c>
      <c r="D28" s="3">
        <f t="shared" si="2"/>
        <v>2836711.6147184991</v>
      </c>
    </row>
    <row r="29" spans="1:4" x14ac:dyDescent="0.25">
      <c r="A29" s="1">
        <v>27</v>
      </c>
      <c r="B29" s="3">
        <f t="shared" si="0"/>
        <v>-2533633.7023191666</v>
      </c>
      <c r="C29" s="3">
        <f t="shared" si="3"/>
        <v>2809440.1459014025</v>
      </c>
      <c r="D29" s="3">
        <f t="shared" si="2"/>
        <v>2947343.3676925204</v>
      </c>
    </row>
    <row r="30" spans="1:4" x14ac:dyDescent="0.25">
      <c r="A30" s="1">
        <v>28</v>
      </c>
      <c r="B30" s="3">
        <f t="shared" si="0"/>
        <v>-2632445.416709614</v>
      </c>
      <c r="C30" s="3">
        <f t="shared" ref="C30:C32" si="4">C29+(C29*$G$1)</f>
        <v>2919008.3115915572</v>
      </c>
      <c r="D30" s="3">
        <f t="shared" si="2"/>
        <v>3062289.7590325288</v>
      </c>
    </row>
    <row r="31" spans="1:4" x14ac:dyDescent="0.25">
      <c r="A31" s="1">
        <v>29</v>
      </c>
      <c r="B31" s="3">
        <f t="shared" si="0"/>
        <v>-2735110.7879612893</v>
      </c>
      <c r="C31" s="3">
        <f t="shared" si="4"/>
        <v>3032849.6357436278</v>
      </c>
      <c r="D31" s="3">
        <f t="shared" si="2"/>
        <v>3181719.0596347973</v>
      </c>
    </row>
    <row r="32" spans="1:4" x14ac:dyDescent="0.25">
      <c r="A32" s="1">
        <v>30</v>
      </c>
      <c r="B32" s="3">
        <f t="shared" si="0"/>
        <v>-2841780.1086917794</v>
      </c>
      <c r="C32" s="3">
        <f t="shared" si="4"/>
        <v>3151130.7715376294</v>
      </c>
      <c r="D32" s="3">
        <f t="shared" si="2"/>
        <v>3305806.1029605544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D341-E413-45D4-81F2-4887ADB864CC}">
  <dimension ref="A1:F32"/>
  <sheetViews>
    <sheetView tabSelected="1" workbookViewId="0">
      <selection activeCell="G13" sqref="G13"/>
    </sheetView>
  </sheetViews>
  <sheetFormatPr defaultRowHeight="15" x14ac:dyDescent="0.25"/>
  <cols>
    <col min="2" max="2" width="14.28515625" bestFit="1" customWidth="1"/>
    <col min="3" max="3" width="11.5703125" bestFit="1" customWidth="1"/>
    <col min="5" max="5" width="12.5703125" bestFit="1" customWidth="1"/>
  </cols>
  <sheetData>
    <row r="1" spans="1:6" x14ac:dyDescent="0.25">
      <c r="A1" s="8" t="s">
        <v>3</v>
      </c>
      <c r="B1" s="9" t="s">
        <v>6</v>
      </c>
      <c r="C1" s="9" t="s">
        <v>7</v>
      </c>
      <c r="E1" t="s">
        <v>8</v>
      </c>
      <c r="F1" s="6">
        <v>2.5000000000000001E-2</v>
      </c>
    </row>
    <row r="2" spans="1:6" x14ac:dyDescent="0.25">
      <c r="A2" s="1">
        <v>0</v>
      </c>
      <c r="B2" s="7">
        <f>'Standard Deviation'!C2</f>
        <v>1000000</v>
      </c>
      <c r="C2" s="7">
        <f>B2-(B2*$F$1)</f>
        <v>975000</v>
      </c>
    </row>
    <row r="3" spans="1:6" x14ac:dyDescent="0.25">
      <c r="A3" s="1">
        <v>1</v>
      </c>
      <c r="B3" s="7">
        <f>'Standard Deviation'!C3</f>
        <v>1039000</v>
      </c>
      <c r="C3" s="7">
        <f t="shared" ref="C3:C32" si="0">B3-(B3*$F$1)</f>
        <v>1013025</v>
      </c>
    </row>
    <row r="4" spans="1:6" x14ac:dyDescent="0.25">
      <c r="A4" s="1">
        <v>2</v>
      </c>
      <c r="B4" s="7">
        <f>'Standard Deviation'!C4</f>
        <v>1079521</v>
      </c>
      <c r="C4" s="7">
        <f t="shared" si="0"/>
        <v>1052532.9750000001</v>
      </c>
    </row>
    <row r="5" spans="1:6" x14ac:dyDescent="0.25">
      <c r="A5" s="1">
        <v>3</v>
      </c>
      <c r="B5" s="7">
        <f>'Standard Deviation'!C5</f>
        <v>1121622.3189999999</v>
      </c>
      <c r="C5" s="7">
        <f t="shared" si="0"/>
        <v>1093581.7610249999</v>
      </c>
    </row>
    <row r="6" spans="1:6" x14ac:dyDescent="0.25">
      <c r="A6" s="1">
        <v>4</v>
      </c>
      <c r="B6" s="7">
        <f>'Standard Deviation'!C6</f>
        <v>1165365.5894409998</v>
      </c>
      <c r="C6" s="7">
        <f t="shared" si="0"/>
        <v>1136231.4497049749</v>
      </c>
    </row>
    <row r="7" spans="1:6" x14ac:dyDescent="0.25">
      <c r="A7" s="1">
        <v>5</v>
      </c>
      <c r="B7" s="7">
        <f>'Standard Deviation'!C7</f>
        <v>1210814.8474291987</v>
      </c>
      <c r="C7" s="7">
        <f t="shared" si="0"/>
        <v>1180544.4762434687</v>
      </c>
    </row>
    <row r="8" spans="1:6" x14ac:dyDescent="0.25">
      <c r="A8" s="1">
        <v>6</v>
      </c>
      <c r="B8" s="7">
        <f>'Standard Deviation'!C8</f>
        <v>1258036.6264789375</v>
      </c>
      <c r="C8" s="7">
        <f t="shared" si="0"/>
        <v>1226585.710816964</v>
      </c>
    </row>
    <row r="9" spans="1:6" x14ac:dyDescent="0.25">
      <c r="A9" s="1">
        <v>7</v>
      </c>
      <c r="B9" s="7">
        <f>'Standard Deviation'!C9</f>
        <v>1307100.054911616</v>
      </c>
      <c r="C9" s="7">
        <f t="shared" si="0"/>
        <v>1274422.5535388256</v>
      </c>
    </row>
    <row r="10" spans="1:6" x14ac:dyDescent="0.25">
      <c r="A10" s="1">
        <v>8</v>
      </c>
      <c r="B10" s="7">
        <f>'Standard Deviation'!C10</f>
        <v>1358076.9570531691</v>
      </c>
      <c r="C10" s="7">
        <f t="shared" si="0"/>
        <v>1324125.0331268399</v>
      </c>
    </row>
    <row r="11" spans="1:6" x14ac:dyDescent="0.25">
      <c r="A11" s="1">
        <v>9</v>
      </c>
      <c r="B11" s="7">
        <f>'Standard Deviation'!C11</f>
        <v>1411041.9583782428</v>
      </c>
      <c r="C11" s="7">
        <f t="shared" si="0"/>
        <v>1375765.9094187866</v>
      </c>
    </row>
    <row r="12" spans="1:6" x14ac:dyDescent="0.25">
      <c r="A12" s="1">
        <v>10</v>
      </c>
      <c r="B12" s="7">
        <f>'Standard Deviation'!C12</f>
        <v>1466072.5947549944</v>
      </c>
      <c r="C12" s="7">
        <f t="shared" si="0"/>
        <v>1429420.7798861195</v>
      </c>
    </row>
    <row r="13" spans="1:6" x14ac:dyDescent="0.25">
      <c r="A13" s="1">
        <v>11</v>
      </c>
      <c r="B13" s="7">
        <f>'Standard Deviation'!C13</f>
        <v>1523249.4259504392</v>
      </c>
      <c r="C13" s="7">
        <f t="shared" si="0"/>
        <v>1485168.1903016781</v>
      </c>
    </row>
    <row r="14" spans="1:6" x14ac:dyDescent="0.25">
      <c r="A14" s="1">
        <v>12</v>
      </c>
      <c r="B14" s="7">
        <f>'Standard Deviation'!C14</f>
        <v>1582656.1535625062</v>
      </c>
      <c r="C14" s="7">
        <f t="shared" si="0"/>
        <v>1543089.7497234435</v>
      </c>
    </row>
    <row r="15" spans="1:6" x14ac:dyDescent="0.25">
      <c r="A15" s="1">
        <v>13</v>
      </c>
      <c r="B15" s="7">
        <f>'Standard Deviation'!C15</f>
        <v>1644379.743551444</v>
      </c>
      <c r="C15" s="7">
        <f t="shared" si="0"/>
        <v>1603270.2499626579</v>
      </c>
    </row>
    <row r="16" spans="1:6" x14ac:dyDescent="0.25">
      <c r="A16" s="1">
        <v>14</v>
      </c>
      <c r="B16" s="7">
        <f>'Standard Deviation'!C16</f>
        <v>1708510.5535499502</v>
      </c>
      <c r="C16" s="7">
        <f t="shared" si="0"/>
        <v>1665797.7897112016</v>
      </c>
    </row>
    <row r="17" spans="1:3" x14ac:dyDescent="0.25">
      <c r="A17" s="1">
        <v>15</v>
      </c>
      <c r="B17" s="7">
        <f>'Standard Deviation'!C17</f>
        <v>1775142.4651383983</v>
      </c>
      <c r="C17" s="7">
        <f t="shared" si="0"/>
        <v>1730763.9035099384</v>
      </c>
    </row>
    <row r="18" spans="1:3" x14ac:dyDescent="0.25">
      <c r="A18" s="1">
        <v>16</v>
      </c>
      <c r="B18" s="7">
        <f>'Standard Deviation'!C18</f>
        <v>1844373.0212787958</v>
      </c>
      <c r="C18" s="7">
        <f t="shared" si="0"/>
        <v>1798263.695746826</v>
      </c>
    </row>
    <row r="19" spans="1:3" x14ac:dyDescent="0.25">
      <c r="A19" s="1">
        <v>17</v>
      </c>
      <c r="B19" s="7">
        <f>'Standard Deviation'!C19</f>
        <v>1916303.5691086687</v>
      </c>
      <c r="C19" s="7">
        <f t="shared" si="0"/>
        <v>1868395.979880952</v>
      </c>
    </row>
    <row r="20" spans="1:3" x14ac:dyDescent="0.25">
      <c r="A20" s="1">
        <v>18</v>
      </c>
      <c r="B20" s="7">
        <f>'Standard Deviation'!C20</f>
        <v>1991039.4083039067</v>
      </c>
      <c r="C20" s="7">
        <f t="shared" si="0"/>
        <v>1941263.423096309</v>
      </c>
    </row>
    <row r="21" spans="1:3" x14ac:dyDescent="0.25">
      <c r="A21" s="1">
        <v>19</v>
      </c>
      <c r="B21" s="7">
        <f>'Standard Deviation'!C21</f>
        <v>2068689.945227759</v>
      </c>
      <c r="C21" s="7">
        <f t="shared" si="0"/>
        <v>2016972.6965970651</v>
      </c>
    </row>
    <row r="22" spans="1:3" x14ac:dyDescent="0.25">
      <c r="A22" s="1">
        <v>20</v>
      </c>
      <c r="B22" s="7">
        <f>'Standard Deviation'!C22</f>
        <v>2149368.8530916413</v>
      </c>
      <c r="C22" s="7">
        <f t="shared" si="0"/>
        <v>2095634.6317643502</v>
      </c>
    </row>
    <row r="23" spans="1:3" x14ac:dyDescent="0.25">
      <c r="A23" s="1">
        <v>21</v>
      </c>
      <c r="B23" s="7">
        <f>'Standard Deviation'!C23</f>
        <v>2233194.2383622155</v>
      </c>
      <c r="C23" s="7">
        <f t="shared" si="0"/>
        <v>2177364.38240316</v>
      </c>
    </row>
    <row r="24" spans="1:3" x14ac:dyDescent="0.25">
      <c r="A24" s="1">
        <v>22</v>
      </c>
      <c r="B24" s="7">
        <f>'Standard Deviation'!C24</f>
        <v>2320288.8136583418</v>
      </c>
      <c r="C24" s="7">
        <f t="shared" si="0"/>
        <v>2262281.5933168833</v>
      </c>
    </row>
    <row r="25" spans="1:3" x14ac:dyDescent="0.25">
      <c r="A25" s="1">
        <v>23</v>
      </c>
      <c r="B25" s="7">
        <f>'Standard Deviation'!C25</f>
        <v>2410780.0773910172</v>
      </c>
      <c r="C25" s="7">
        <f t="shared" si="0"/>
        <v>2350510.5754562416</v>
      </c>
    </row>
    <row r="26" spans="1:3" x14ac:dyDescent="0.25">
      <c r="A26" s="1">
        <v>24</v>
      </c>
      <c r="B26" s="7">
        <f>'Standard Deviation'!C26</f>
        <v>2504800.5004092669</v>
      </c>
      <c r="C26" s="7">
        <f t="shared" si="0"/>
        <v>2442180.4878990352</v>
      </c>
    </row>
    <row r="27" spans="1:3" x14ac:dyDescent="0.25">
      <c r="A27" s="1">
        <v>25</v>
      </c>
      <c r="B27" s="7">
        <f>'Standard Deviation'!C27</f>
        <v>2602487.7199252285</v>
      </c>
      <c r="C27" s="7">
        <f t="shared" si="0"/>
        <v>2537425.5269270977</v>
      </c>
    </row>
    <row r="28" spans="1:3" x14ac:dyDescent="0.25">
      <c r="A28" s="1">
        <v>26</v>
      </c>
      <c r="B28" s="7">
        <f>'Standard Deviation'!C28</f>
        <v>2703984.7410023124</v>
      </c>
      <c r="C28" s="7">
        <f t="shared" si="0"/>
        <v>2636385.1224772544</v>
      </c>
    </row>
    <row r="29" spans="1:3" x14ac:dyDescent="0.25">
      <c r="A29" s="1">
        <v>27</v>
      </c>
      <c r="B29" s="7">
        <f>'Standard Deviation'!C29</f>
        <v>2809440.1459014025</v>
      </c>
      <c r="C29" s="7">
        <f t="shared" si="0"/>
        <v>2739204.1422538674</v>
      </c>
    </row>
    <row r="30" spans="1:3" x14ac:dyDescent="0.25">
      <c r="A30" s="1">
        <v>28</v>
      </c>
      <c r="B30" s="7">
        <f>'Standard Deviation'!C30</f>
        <v>2919008.3115915572</v>
      </c>
      <c r="C30" s="7">
        <f t="shared" si="0"/>
        <v>2846033.1038017683</v>
      </c>
    </row>
    <row r="31" spans="1:3" x14ac:dyDescent="0.25">
      <c r="A31" s="1">
        <v>29</v>
      </c>
      <c r="B31" s="7">
        <f>'Standard Deviation'!C31</f>
        <v>3032849.6357436278</v>
      </c>
      <c r="C31" s="7">
        <f t="shared" si="0"/>
        <v>2957028.3948500371</v>
      </c>
    </row>
    <row r="32" spans="1:3" x14ac:dyDescent="0.25">
      <c r="A32" s="1">
        <v>30</v>
      </c>
      <c r="B32" s="7">
        <f>'Standard Deviation'!C32</f>
        <v>3151130.7715376294</v>
      </c>
      <c r="C32" s="7">
        <f t="shared" si="0"/>
        <v>3072352.5022491887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 Deviation</vt:lpstr>
      <vt:lpstr>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</dc:creator>
  <cp:lastModifiedBy>D K</cp:lastModifiedBy>
  <dcterms:created xsi:type="dcterms:W3CDTF">2026-02-16T07:15:49Z</dcterms:created>
  <dcterms:modified xsi:type="dcterms:W3CDTF">2026-02-16T07:32:26Z</dcterms:modified>
</cp:coreProperties>
</file>