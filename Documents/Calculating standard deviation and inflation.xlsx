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Think Numbers\FIRE Wealth\Documents\"/>
    </mc:Choice>
  </mc:AlternateContent>
  <xr:revisionPtr revIDLastSave="0" documentId="13_ncr:1_{4F82EFA6-F314-45B5-B8F3-8AA655E77FCA}" xr6:coauthVersionLast="47" xr6:coauthVersionMax="47" xr10:uidLastSave="{00000000-0000-0000-0000-000000000000}"/>
  <bookViews>
    <workbookView xWindow="22060" yWindow="270" windowWidth="15910" windowHeight="20510" activeTab="1" xr2:uid="{B20E0CF3-AA53-4E05-85B7-5ADD15A33C21}"/>
  </bookViews>
  <sheets>
    <sheet name="Standard Deviation" sheetId="1" r:id="rId1"/>
    <sheet name="Infla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2" l="1"/>
  <c r="C2" i="2" s="1"/>
  <c r="B3" i="1"/>
  <c r="D3" i="1"/>
  <c r="C3" i="1"/>
  <c r="B4" i="1" s="1"/>
  <c r="B3" i="2" l="1"/>
  <c r="C3" i="2" s="1"/>
  <c r="C4" i="1"/>
  <c r="B4" i="2" s="1"/>
  <c r="C4" i="2" s="1"/>
  <c r="D4" i="1"/>
  <c r="B5" i="1" l="1"/>
  <c r="C5" i="1"/>
  <c r="B5" i="2" s="1"/>
  <c r="C5" i="2" s="1"/>
  <c r="D5" i="1"/>
  <c r="C6" i="1" l="1"/>
  <c r="B6" i="2" s="1"/>
  <c r="C6" i="2" s="1"/>
  <c r="B6" i="1"/>
  <c r="D6" i="1"/>
  <c r="B7" i="1" l="1"/>
  <c r="C7" i="1"/>
  <c r="B7" i="2" s="1"/>
  <c r="C7" i="2" s="1"/>
  <c r="D7" i="1"/>
  <c r="D8" i="1" l="1"/>
  <c r="B8" i="1"/>
  <c r="C8" i="1"/>
  <c r="B8" i="2" s="1"/>
  <c r="C8" i="2" s="1"/>
  <c r="B9" i="1" l="1"/>
  <c r="C9" i="1"/>
  <c r="B9" i="2" s="1"/>
  <c r="C9" i="2" s="1"/>
  <c r="D9" i="1"/>
  <c r="C10" i="1" l="1"/>
  <c r="B10" i="2" s="1"/>
  <c r="C10" i="2" s="1"/>
  <c r="D10" i="1"/>
  <c r="B10" i="1"/>
  <c r="B11" i="1" l="1"/>
  <c r="C11" i="1"/>
  <c r="B11" i="2" s="1"/>
  <c r="C11" i="2" s="1"/>
  <c r="D11" i="1"/>
  <c r="C12" i="1" l="1"/>
  <c r="B12" i="2" s="1"/>
  <c r="C12" i="2" s="1"/>
  <c r="B12" i="1"/>
  <c r="D12" i="1"/>
  <c r="C13" i="1" l="1"/>
  <c r="B13" i="2" s="1"/>
  <c r="C13" i="2" s="1"/>
  <c r="D13" i="1"/>
  <c r="B13" i="1"/>
  <c r="B14" i="1" l="1"/>
  <c r="C14" i="1"/>
  <c r="B14" i="2" s="1"/>
  <c r="C14" i="2" s="1"/>
  <c r="D14" i="1"/>
  <c r="C15" i="1" l="1"/>
  <c r="B15" i="2" s="1"/>
  <c r="C15" i="2" s="1"/>
  <c r="B15" i="1"/>
  <c r="D15" i="1"/>
  <c r="B16" i="1" l="1"/>
  <c r="C16" i="1"/>
  <c r="B16" i="2" s="1"/>
  <c r="C16" i="2" s="1"/>
  <c r="D16" i="1"/>
  <c r="B17" i="1" l="1"/>
  <c r="C17" i="1"/>
  <c r="B17" i="2" s="1"/>
  <c r="C17" i="2" s="1"/>
  <c r="D17" i="1"/>
  <c r="B18" i="1" l="1"/>
  <c r="C18" i="1"/>
  <c r="B18" i="2" s="1"/>
  <c r="C18" i="2" s="1"/>
  <c r="D18" i="1"/>
  <c r="C19" i="1" l="1"/>
  <c r="B19" i="2" s="1"/>
  <c r="C19" i="2" s="1"/>
  <c r="D19" i="1"/>
  <c r="B19" i="1"/>
  <c r="B20" i="1" l="1"/>
  <c r="C20" i="1"/>
  <c r="B20" i="2" s="1"/>
  <c r="C20" i="2" s="1"/>
  <c r="D20" i="1"/>
  <c r="B21" i="1" l="1"/>
  <c r="C21" i="1"/>
  <c r="B21" i="2" s="1"/>
  <c r="C21" i="2" s="1"/>
  <c r="D21" i="1"/>
  <c r="B22" i="1" l="1"/>
  <c r="C22" i="1"/>
  <c r="B22" i="2" s="1"/>
  <c r="C22" i="2" s="1"/>
  <c r="D22" i="1"/>
  <c r="C23" i="1" l="1"/>
  <c r="B23" i="2" s="1"/>
  <c r="C23" i="2" s="1"/>
  <c r="B23" i="1"/>
  <c r="D23" i="1"/>
  <c r="B24" i="1" l="1"/>
  <c r="C24" i="1"/>
  <c r="B24" i="2" s="1"/>
  <c r="C24" i="2" s="1"/>
  <c r="D24" i="1"/>
  <c r="B25" i="1" l="1"/>
  <c r="C25" i="1"/>
  <c r="B25" i="2" s="1"/>
  <c r="C25" i="2" s="1"/>
  <c r="D25" i="1"/>
  <c r="B26" i="1" l="1"/>
  <c r="C26" i="1"/>
  <c r="B26" i="2" s="1"/>
  <c r="C26" i="2" s="1"/>
  <c r="D26" i="1"/>
  <c r="C27" i="1" l="1"/>
  <c r="B27" i="2" s="1"/>
  <c r="C27" i="2" s="1"/>
  <c r="D27" i="1"/>
  <c r="B27" i="1"/>
  <c r="B28" i="1" l="1"/>
  <c r="C28" i="1"/>
  <c r="B28" i="2" s="1"/>
  <c r="C28" i="2" s="1"/>
  <c r="D28" i="1"/>
  <c r="B29" i="1" l="1"/>
  <c r="D29" i="1"/>
  <c r="C29" i="1"/>
  <c r="B29" i="2" s="1"/>
  <c r="C29" i="2" s="1"/>
  <c r="C30" i="1" l="1"/>
  <c r="B30" i="2" s="1"/>
  <c r="C30" i="2" s="1"/>
  <c r="D30" i="1"/>
  <c r="B30" i="1"/>
  <c r="B31" i="1" l="1"/>
  <c r="C31" i="1"/>
  <c r="B31" i="2" s="1"/>
  <c r="C31" i="2" s="1"/>
  <c r="D31" i="1"/>
  <c r="C32" i="1" l="1"/>
  <c r="B32" i="2" s="1"/>
  <c r="C32" i="2" s="1"/>
  <c r="B32" i="1"/>
  <c r="D32" i="1"/>
</calcChain>
</file>

<file path=xl/sharedStrings.xml><?xml version="1.0" encoding="utf-8"?>
<sst xmlns="http://schemas.openxmlformats.org/spreadsheetml/2006/main" count="10" uniqueCount="9">
  <si>
    <t>Downside (2 SD)</t>
  </si>
  <si>
    <t>Median</t>
  </si>
  <si>
    <t>Upside (1 SD)</t>
  </si>
  <si>
    <t>Year</t>
  </si>
  <si>
    <t>Return</t>
  </si>
  <si>
    <t>Risk</t>
  </si>
  <si>
    <t>Nominal</t>
  </si>
  <si>
    <t>Real</t>
  </si>
  <si>
    <t>Inflation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</si>
</sst>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_);[Red]\(&quot;$&quot;#,##0\)"/>
    <numFmt numFmtId="165" formatCode="_(&quot;$&quot;* #,##0.00_);_(&quot;$&quot;* \(#,##0.00\);_(&quot;$&quot;* &quot;-&quot;??_);_(@_)"/>
    <numFmt numFmtId="166" formatCode="_(&quot;$&quot;* #,##0_);_(&quot;$&quot;* \(#,##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10" fontId="0" fillId="2" borderId="0" xfId="0" applyNumberFormat="1" applyFill="1"/>
    <xf numFmtId="166" fontId="0" fillId="0" borderId="0" xfId="1" applyNumberFormat="1" applyFont="1"/>
    <xf numFmtId="0" fontId="2" fillId="0" borderId="0" xfId="0" applyFont="1" applyAlignment="1">
      <alignment vertical="center" wrapText="1"/>
    </xf>
    <xf numFmtId="0" fontId="2" fillId="0" borderId="0" xfId="0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042C8-7EB2-4AAB-ABAB-2AEE1279C21D}">
  <dimension ref="A1:G32"/>
  <sheetViews>
    <sheetView workbookViewId="0">
      <selection activeCell="F11" sqref="F11"/>
    </sheetView>
  </sheetViews>
  <sheetFormatPr defaultColWidth="9.1796875" defaultRowHeight="14.5" x14ac:dyDescent="0.35"/>
  <cols>
    <col min="1" max="1" width="4.81640625" bestFit="1" customWidth="1"/>
    <col min="2" max="2" width="15.54296875" bestFit="1" customWidth="1"/>
    <col min="3" max="3" width="11.1796875" bestFit="1" customWidth="1"/>
    <col min="4" max="4" width="12.7265625" bestFit="1" customWidth="1"/>
  </cols>
  <sheetData>
    <row r="1" spans="1:7" x14ac:dyDescent="0.35">
      <c r="A1" s="5" t="s">
        <v>3</v>
      </c>
      <c r="B1" s="5" t="s">
        <v>0</v>
      </c>
      <c r="C1" s="5" t="s">
        <v>1</v>
      </c>
      <c r="D1" s="5" t="s">
        <v>2</v>
      </c>
      <c r="F1" s="1" t="s">
        <v>4</v>
      </c>
      <c r="G1" s="3">
        <v>7.9851754365522706E-2</v>
      </c>
    </row>
    <row r="2" spans="1:7" x14ac:dyDescent="0.35">
      <c r="A2" s="1">
        <v>0</v>
      </c>
      <c r="B2" s="1"/>
      <c r="C2" s="2">
        <v>1000000</v>
      </c>
      <c r="D2" s="1"/>
      <c r="F2" t="s">
        <v>5</v>
      </c>
      <c r="G2" s="3">
        <v>0.13850331016810999</v>
      </c>
    </row>
    <row r="3" spans="1:7" x14ac:dyDescent="0.35">
      <c r="A3" s="1">
        <v>1</v>
      </c>
      <c r="B3" s="2">
        <f>-C2-(C2*($G$1-$G$2-$G$2))</f>
        <v>-802845.13402930275</v>
      </c>
      <c r="C3" s="2">
        <f>C2+(C2*$G$1)</f>
        <v>1079851.7543655226</v>
      </c>
      <c r="D3" s="2">
        <f>C2+(C2*($G$1+$G$2))</f>
        <v>1218355.0645336327</v>
      </c>
    </row>
    <row r="4" spans="1:7" x14ac:dyDescent="0.35">
      <c r="A4" s="1">
        <v>2</v>
      </c>
      <c r="B4" s="2">
        <f>-C3-(C3*($G$1-$G$2-$G$2))</f>
        <v>-866953.72646536573</v>
      </c>
      <c r="C4" s="2">
        <f>C3+(C3*$G$1)</f>
        <v>1166079.8114062971</v>
      </c>
      <c r="D4" s="2">
        <f>C3+(C3*($G$1+$G$2))</f>
        <v>1315642.8538767628</v>
      </c>
    </row>
    <row r="5" spans="1:7" x14ac:dyDescent="0.35">
      <c r="A5" s="1">
        <v>3</v>
      </c>
      <c r="B5" s="2">
        <f t="shared" ref="B5:B32" si="0">-C4-(C4*($G$1-$G$2-$G$2))</f>
        <v>-936181.50247735274</v>
      </c>
      <c r="C5" s="2">
        <f t="shared" ref="C5:C13" si="1">C4+(C4*$G$1)</f>
        <v>1259193.3300773078</v>
      </c>
      <c r="D5" s="2">
        <f t="shared" ref="D5:D32" si="2">C4+(C4*($G$1+$G$2))</f>
        <v>1420699.2438772854</v>
      </c>
    </row>
    <row r="6" spans="1:7" x14ac:dyDescent="0.35">
      <c r="A6" s="1">
        <v>4</v>
      </c>
      <c r="B6" s="2">
        <f t="shared" si="0"/>
        <v>-1010937.2378547202</v>
      </c>
      <c r="C6" s="2">
        <f t="shared" si="1"/>
        <v>1359742.1265693456</v>
      </c>
      <c r="D6" s="2">
        <f t="shared" si="2"/>
        <v>1534144.5709266581</v>
      </c>
    </row>
    <row r="7" spans="1:7" x14ac:dyDescent="0.35">
      <c r="A7" s="1">
        <v>5</v>
      </c>
      <c r="B7" s="2">
        <f t="shared" si="0"/>
        <v>-1091662.3498508553</v>
      </c>
      <c r="C7" s="2">
        <f t="shared" si="1"/>
        <v>1468319.9208606144</v>
      </c>
      <c r="D7" s="2">
        <f t="shared" si="2"/>
        <v>1656648.7063654941</v>
      </c>
    </row>
    <row r="8" spans="1:7" x14ac:dyDescent="0.35">
      <c r="A8" s="1">
        <v>6</v>
      </c>
      <c r="B8" s="2">
        <f t="shared" si="0"/>
        <v>-1178833.5036612351</v>
      </c>
      <c r="C8" s="2">
        <f t="shared" si="1"/>
        <v>1585567.8425111799</v>
      </c>
      <c r="D8" s="2">
        <f t="shared" si="2"/>
        <v>1788935.0119361524</v>
      </c>
    </row>
    <row r="9" spans="1:7" x14ac:dyDescent="0.35">
      <c r="A9" s="1">
        <v>7</v>
      </c>
      <c r="B9" s="2">
        <f t="shared" si="0"/>
        <v>-1272965.4270334407</v>
      </c>
      <c r="C9" s="2">
        <f t="shared" si="1"/>
        <v>1712178.2164012543</v>
      </c>
      <c r="D9" s="2">
        <f t="shared" si="2"/>
        <v>1931784.6110851613</v>
      </c>
    </row>
    <row r="10" spans="1:7" x14ac:dyDescent="0.35">
      <c r="A10" s="1">
        <v>8</v>
      </c>
      <c r="B10" s="2">
        <f t="shared" si="0"/>
        <v>-1374613.9496287175</v>
      </c>
      <c r="C10" s="2">
        <f t="shared" si="1"/>
        <v>1848898.6507673261</v>
      </c>
      <c r="D10" s="2">
        <f t="shared" si="2"/>
        <v>2086041.0013366302</v>
      </c>
    </row>
    <row r="11" spans="1:7" x14ac:dyDescent="0.35">
      <c r="A11" s="1">
        <v>9</v>
      </c>
      <c r="B11" s="2">
        <f t="shared" si="0"/>
        <v>-1484379.2850818909</v>
      </c>
      <c r="C11" s="2">
        <f t="shared" si="1"/>
        <v>1996536.451675145</v>
      </c>
      <c r="D11" s="2">
        <f t="shared" si="2"/>
        <v>2252615.0349717718</v>
      </c>
    </row>
    <row r="12" spans="1:7" x14ac:dyDescent="0.35">
      <c r="A12" s="1">
        <v>10</v>
      </c>
      <c r="B12" s="2">
        <f t="shared" si="0"/>
        <v>-1602909.5751395202</v>
      </c>
      <c r="C12" s="2">
        <f>C11+(C11*$G$1)</f>
        <v>2155963.3899961207</v>
      </c>
      <c r="D12" s="2">
        <f t="shared" si="2"/>
        <v>2432490.2974244212</v>
      </c>
    </row>
    <row r="13" spans="1:7" x14ac:dyDescent="0.35">
      <c r="A13" s="1">
        <v>11</v>
      </c>
      <c r="B13" s="2">
        <f t="shared" si="0"/>
        <v>-1730904.7168037053</v>
      </c>
      <c r="C13" s="2">
        <f t="shared" si="1"/>
        <v>2328120.8490351504</v>
      </c>
      <c r="D13" s="2">
        <f t="shared" si="2"/>
        <v>2626728.9151508734</v>
      </c>
    </row>
    <row r="14" spans="1:7" x14ac:dyDescent="0.35">
      <c r="A14" s="1">
        <v>12</v>
      </c>
      <c r="B14" s="2">
        <f t="shared" si="0"/>
        <v>-1869120.4950800394</v>
      </c>
      <c r="C14" s="2">
        <f t="shared" ref="C14:C29" si="3">C13+(C13*$G$1)</f>
        <v>2514025.3832055572</v>
      </c>
      <c r="D14" s="2">
        <f t="shared" si="2"/>
        <v>2836477.8272683164</v>
      </c>
    </row>
    <row r="15" spans="1:7" x14ac:dyDescent="0.35">
      <c r="A15" s="1">
        <v>13</v>
      </c>
      <c r="B15" s="2">
        <f t="shared" si="0"/>
        <v>-2018373.0457327347</v>
      </c>
      <c r="C15" s="2">
        <f t="shared" si="3"/>
        <v>2714774.7205739766</v>
      </c>
      <c r="D15" s="2">
        <f t="shared" si="2"/>
        <v>3062975.5579945976</v>
      </c>
    </row>
    <row r="16" spans="1:7" x14ac:dyDescent="0.35">
      <c r="A16" s="1">
        <v>14</v>
      </c>
      <c r="B16" s="2">
        <f t="shared" si="0"/>
        <v>-2179543.6743985773</v>
      </c>
      <c r="C16" s="2">
        <f t="shared" si="3"/>
        <v>2931554.2447189805</v>
      </c>
      <c r="D16" s="2">
        <f t="shared" si="2"/>
        <v>3307559.5298791816</v>
      </c>
    </row>
    <row r="17" spans="1:4" x14ac:dyDescent="0.35">
      <c r="A17" s="1">
        <v>15</v>
      </c>
      <c r="B17" s="2">
        <f t="shared" si="0"/>
        <v>-2353584.0605155812</v>
      </c>
      <c r="C17" s="2">
        <f t="shared" si="3"/>
        <v>3165643.9941774858</v>
      </c>
      <c r="D17" s="2">
        <f t="shared" si="2"/>
        <v>3571673.9610084384</v>
      </c>
    </row>
    <row r="18" spans="1:4" x14ac:dyDescent="0.35">
      <c r="A18" s="1">
        <v>16</v>
      </c>
      <c r="B18" s="2">
        <f t="shared" si="0"/>
        <v>-2541521.8767944807</v>
      </c>
      <c r="C18" s="2">
        <f t="shared" si="3"/>
        <v>3418426.2208092385</v>
      </c>
      <c r="D18" s="2">
        <f t="shared" si="2"/>
        <v>3856878.3928166176</v>
      </c>
    </row>
    <row r="19" spans="1:4" x14ac:dyDescent="0.35">
      <c r="A19" s="1">
        <v>17</v>
      </c>
      <c r="B19" s="2">
        <f t="shared" si="0"/>
        <v>-2744466.8574148761</v>
      </c>
      <c r="C19" s="2">
        <f t="shared" si="3"/>
        <v>3691393.5517099597</v>
      </c>
      <c r="D19" s="2">
        <f t="shared" si="2"/>
        <v>4164856.8988575018</v>
      </c>
    </row>
    <row r="20" spans="1:4" x14ac:dyDescent="0.35">
      <c r="A20" s="1">
        <v>18</v>
      </c>
      <c r="B20" s="2">
        <f t="shared" si="0"/>
        <v>-2963617.3507774863</v>
      </c>
      <c r="C20" s="2">
        <f t="shared" si="3"/>
        <v>3986157.8028675779</v>
      </c>
      <c r="D20" s="2">
        <f t="shared" si="2"/>
        <v>4497428.0289126234</v>
      </c>
    </row>
    <row r="21" spans="1:4" x14ac:dyDescent="0.35">
      <c r="A21" s="1">
        <v>19</v>
      </c>
      <c r="B21" s="2">
        <f t="shared" si="0"/>
        <v>-3200267.3955051713</v>
      </c>
      <c r="C21" s="2">
        <f t="shared" si="3"/>
        <v>4304459.4966043718</v>
      </c>
      <c r="D21" s="2">
        <f t="shared" si="2"/>
        <v>4856555.5471539712</v>
      </c>
    </row>
    <row r="22" spans="1:4" x14ac:dyDescent="0.35">
      <c r="A22" s="1">
        <v>20</v>
      </c>
      <c r="B22" s="2">
        <f t="shared" si="0"/>
        <v>-3455814.3614750421</v>
      </c>
      <c r="C22" s="2">
        <f t="shared" si="3"/>
        <v>4648178.1390035655</v>
      </c>
      <c r="D22" s="2">
        <f t="shared" si="2"/>
        <v>5244360.0277678277</v>
      </c>
    </row>
    <row r="23" spans="1:4" x14ac:dyDescent="0.35">
      <c r="A23" s="1">
        <v>21</v>
      </c>
      <c r="B23" s="2">
        <f t="shared" si="0"/>
        <v>-3731767.2010003924</v>
      </c>
      <c r="C23" s="2">
        <f t="shared" si="3"/>
        <v>5019343.3180064708</v>
      </c>
      <c r="D23" s="2">
        <f t="shared" si="2"/>
        <v>5663131.37650951</v>
      </c>
    </row>
    <row r="24" spans="1:4" x14ac:dyDescent="0.35">
      <c r="A24" s="1">
        <v>22</v>
      </c>
      <c r="B24" s="2">
        <f t="shared" si="0"/>
        <v>-4029755.35888399</v>
      </c>
      <c r="C24" s="2">
        <f t="shared" si="3"/>
        <v>5420146.6877121516</v>
      </c>
      <c r="D24" s="2">
        <f t="shared" si="2"/>
        <v>6115342.3521262314</v>
      </c>
    </row>
    <row r="25" spans="1:4" x14ac:dyDescent="0.35">
      <c r="A25" s="1">
        <v>23</v>
      </c>
      <c r="B25" s="2">
        <f t="shared" si="0"/>
        <v>-4351538.3939547436</v>
      </c>
      <c r="C25" s="2">
        <f t="shared" si="3"/>
        <v>5852954.9096444435</v>
      </c>
      <c r="D25" s="2">
        <f t="shared" si="2"/>
        <v>6603663.167489294</v>
      </c>
    </row>
    <row r="26" spans="1:4" x14ac:dyDescent="0.35">
      <c r="A26" s="1">
        <v>24</v>
      </c>
      <c r="B26" s="2">
        <f t="shared" si="0"/>
        <v>-4699016.3689009584</v>
      </c>
      <c r="C26" s="2">
        <f t="shared" si="3"/>
        <v>6320323.627401852</v>
      </c>
      <c r="D26" s="2">
        <f t="shared" si="2"/>
        <v>7130977.2566522984</v>
      </c>
    </row>
    <row r="27" spans="1:4" x14ac:dyDescent="0.35">
      <c r="A27" s="1">
        <v>25</v>
      </c>
      <c r="B27" s="2">
        <f t="shared" si="0"/>
        <v>-5074241.0697500091</v>
      </c>
      <c r="C27" s="2">
        <f t="shared" si="3"/>
        <v>6825012.5572077539</v>
      </c>
      <c r="D27" s="2">
        <f t="shared" si="2"/>
        <v>7700398.3009366263</v>
      </c>
    </row>
    <row r="28" spans="1:4" x14ac:dyDescent="0.35">
      <c r="A28" s="1">
        <v>26</v>
      </c>
      <c r="B28" s="2">
        <f t="shared" si="0"/>
        <v>-5479428.1212431332</v>
      </c>
      <c r="C28" s="2">
        <f t="shared" si="3"/>
        <v>7370001.7834675154</v>
      </c>
      <c r="D28" s="2">
        <f t="shared" si="2"/>
        <v>8315288.6145797065</v>
      </c>
    </row>
    <row r="29" spans="1:4" x14ac:dyDescent="0.35">
      <c r="A29" s="1">
        <v>27</v>
      </c>
      <c r="B29" s="2">
        <f t="shared" si="0"/>
        <v>-5916970.0696441773</v>
      </c>
      <c r="C29" s="2">
        <f t="shared" si="3"/>
        <v>7958509.355554428</v>
      </c>
      <c r="D29" s="2">
        <f t="shared" si="2"/>
        <v>8979278.9985095523</v>
      </c>
    </row>
    <row r="30" spans="1:4" x14ac:dyDescent="0.35">
      <c r="A30" s="1">
        <v>28</v>
      </c>
      <c r="B30" s="2">
        <f t="shared" si="0"/>
        <v>-6389450.510233555</v>
      </c>
      <c r="C30" s="2">
        <f t="shared" ref="C30:C32" si="4">C29+(C29*$G$1)</f>
        <v>8594010.2897298746</v>
      </c>
      <c r="D30" s="2">
        <f t="shared" si="2"/>
        <v>9696290.1794780344</v>
      </c>
    </row>
    <row r="31" spans="1:4" x14ac:dyDescent="0.35">
      <c r="A31" s="1">
        <v>29</v>
      </c>
      <c r="B31" s="2">
        <f t="shared" si="0"/>
        <v>-6899659.3429073878</v>
      </c>
      <c r="C31" s="2">
        <f t="shared" si="4"/>
        <v>9280257.088400159</v>
      </c>
      <c r="D31" s="2">
        <f t="shared" si="2"/>
        <v>10470555.961146545</v>
      </c>
    </row>
    <row r="32" spans="1:4" x14ac:dyDescent="0.35">
      <c r="A32" s="1">
        <v>30</v>
      </c>
      <c r="B32" s="2">
        <f t="shared" si="0"/>
        <v>-7450609.2459630128</v>
      </c>
      <c r="C32" s="2">
        <f t="shared" si="4"/>
        <v>10021301.89787199</v>
      </c>
      <c r="D32" s="2">
        <f t="shared" si="2"/>
        <v>11306648.223826477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9D341-E413-45D4-81F2-4887ADB864CC}">
  <dimension ref="A1:F32"/>
  <sheetViews>
    <sheetView tabSelected="1" workbookViewId="0">
      <selection activeCell="G13" sqref="G13"/>
    </sheetView>
  </sheetViews>
  <sheetFormatPr defaultRowHeight="14.5" x14ac:dyDescent="0.35"/>
  <cols>
    <col min="2" max="2" width="14.26953125" bestFit="1" customWidth="1"/>
    <col min="3" max="3" width="11.54296875" bestFit="1" customWidth="1"/>
    <col min="5" max="5" width="12.54296875" bestFit="1" customWidth="1"/>
  </cols>
  <sheetData>
    <row r="1" spans="1:6" x14ac:dyDescent="0.35">
      <c r="A1" s="5" t="s">
        <v>3</v>
      </c>
      <c r="B1" s="6" t="s">
        <v>6</v>
      </c>
      <c r="C1" s="6" t="s">
        <v>7</v>
      </c>
      <c r="E1" t="s">
        <v>8</v>
      </c>
      <c r="F1" s="3">
        <v>2.5000000000000001E-2</v>
      </c>
    </row>
    <row r="2" spans="1:6" x14ac:dyDescent="0.35">
      <c r="A2" s="1">
        <v>0</v>
      </c>
      <c r="B2" s="4">
        <f>'Standard Deviation'!C2</f>
        <v>1000000</v>
      </c>
      <c r="C2" s="4">
        <f>B2-(B2*$F$1)</f>
        <v>975000</v>
      </c>
    </row>
    <row r="3" spans="1:6" x14ac:dyDescent="0.35">
      <c r="A3" s="1">
        <v>1</v>
      </c>
      <c r="B3" s="4">
        <f>'Standard Deviation'!C3</f>
        <v>1079851.7543655226</v>
      </c>
      <c r="C3" s="4">
        <f t="shared" ref="C3:C32" si="0">B3-(B3*$F$1)</f>
        <v>1052855.4605063845</v>
      </c>
    </row>
    <row r="4" spans="1:6" x14ac:dyDescent="0.35">
      <c r="A4" s="1">
        <v>2</v>
      </c>
      <c r="B4" s="4">
        <f>'Standard Deviation'!C4</f>
        <v>1166079.8114062971</v>
      </c>
      <c r="C4" s="4">
        <f t="shared" si="0"/>
        <v>1136927.8161211398</v>
      </c>
    </row>
    <row r="5" spans="1:6" x14ac:dyDescent="0.35">
      <c r="A5" s="1">
        <v>3</v>
      </c>
      <c r="B5" s="4">
        <f>'Standard Deviation'!C5</f>
        <v>1259193.3300773078</v>
      </c>
      <c r="C5" s="4">
        <f t="shared" si="0"/>
        <v>1227713.4968253751</v>
      </c>
    </row>
    <row r="6" spans="1:6" x14ac:dyDescent="0.35">
      <c r="A6" s="1">
        <v>4</v>
      </c>
      <c r="B6" s="4">
        <f>'Standard Deviation'!C6</f>
        <v>1359742.1265693456</v>
      </c>
      <c r="C6" s="4">
        <f t="shared" si="0"/>
        <v>1325748.5734051119</v>
      </c>
    </row>
    <row r="7" spans="1:6" x14ac:dyDescent="0.35">
      <c r="A7" s="1">
        <v>5</v>
      </c>
      <c r="B7" s="4">
        <f>'Standard Deviation'!C7</f>
        <v>1468319.9208606144</v>
      </c>
      <c r="C7" s="4">
        <f t="shared" si="0"/>
        <v>1431611.9228390991</v>
      </c>
    </row>
    <row r="8" spans="1:6" x14ac:dyDescent="0.35">
      <c r="A8" s="1">
        <v>6</v>
      </c>
      <c r="B8" s="4">
        <f>'Standard Deviation'!C8</f>
        <v>1585567.8425111799</v>
      </c>
      <c r="C8" s="4">
        <f t="shared" si="0"/>
        <v>1545928.6464484003</v>
      </c>
    </row>
    <row r="9" spans="1:6" x14ac:dyDescent="0.35">
      <c r="A9" s="1">
        <v>7</v>
      </c>
      <c r="B9" s="4">
        <f>'Standard Deviation'!C9</f>
        <v>1712178.2164012543</v>
      </c>
      <c r="C9" s="4">
        <f t="shared" si="0"/>
        <v>1669373.7609912229</v>
      </c>
    </row>
    <row r="10" spans="1:6" x14ac:dyDescent="0.35">
      <c r="A10" s="1">
        <v>8</v>
      </c>
      <c r="B10" s="4">
        <f>'Standard Deviation'!C10</f>
        <v>1848898.6507673261</v>
      </c>
      <c r="C10" s="4">
        <f t="shared" si="0"/>
        <v>1802676.1844981429</v>
      </c>
    </row>
    <row r="11" spans="1:6" x14ac:dyDescent="0.35">
      <c r="A11" s="1">
        <v>9</v>
      </c>
      <c r="B11" s="4">
        <f>'Standard Deviation'!C11</f>
        <v>1996536.451675145</v>
      </c>
      <c r="C11" s="4">
        <f t="shared" si="0"/>
        <v>1946623.0403832663</v>
      </c>
    </row>
    <row r="12" spans="1:6" x14ac:dyDescent="0.35">
      <c r="A12" s="1">
        <v>10</v>
      </c>
      <c r="B12" s="4">
        <f>'Standard Deviation'!C12</f>
        <v>2155963.3899961207</v>
      </c>
      <c r="C12" s="4">
        <f t="shared" si="0"/>
        <v>2102064.3052462176</v>
      </c>
    </row>
    <row r="13" spans="1:6" x14ac:dyDescent="0.35">
      <c r="A13" s="1">
        <v>11</v>
      </c>
      <c r="B13" s="4">
        <f>'Standard Deviation'!C13</f>
        <v>2328120.8490351504</v>
      </c>
      <c r="C13" s="4">
        <f t="shared" si="0"/>
        <v>2269917.8278092714</v>
      </c>
    </row>
    <row r="14" spans="1:6" x14ac:dyDescent="0.35">
      <c r="A14" s="1">
        <v>12</v>
      </c>
      <c r="B14" s="4">
        <f>'Standard Deviation'!C14</f>
        <v>2514025.3832055572</v>
      </c>
      <c r="C14" s="4">
        <f t="shared" si="0"/>
        <v>2451174.7486254182</v>
      </c>
    </row>
    <row r="15" spans="1:6" x14ac:dyDescent="0.35">
      <c r="A15" s="1">
        <v>13</v>
      </c>
      <c r="B15" s="4">
        <f>'Standard Deviation'!C15</f>
        <v>2714774.7205739766</v>
      </c>
      <c r="C15" s="4">
        <f t="shared" si="0"/>
        <v>2646905.352559627</v>
      </c>
    </row>
    <row r="16" spans="1:6" x14ac:dyDescent="0.35">
      <c r="A16" s="1">
        <v>14</v>
      </c>
      <c r="B16" s="4">
        <f>'Standard Deviation'!C16</f>
        <v>2931554.2447189805</v>
      </c>
      <c r="C16" s="4">
        <f t="shared" si="0"/>
        <v>2858265.388601006</v>
      </c>
    </row>
    <row r="17" spans="1:3" x14ac:dyDescent="0.35">
      <c r="A17" s="1">
        <v>15</v>
      </c>
      <c r="B17" s="4">
        <f>'Standard Deviation'!C17</f>
        <v>3165643.9941774858</v>
      </c>
      <c r="C17" s="4">
        <f t="shared" si="0"/>
        <v>3086502.8943230486</v>
      </c>
    </row>
    <row r="18" spans="1:3" x14ac:dyDescent="0.35">
      <c r="A18" s="1">
        <v>16</v>
      </c>
      <c r="B18" s="4">
        <f>'Standard Deviation'!C18</f>
        <v>3418426.2208092385</v>
      </c>
      <c r="C18" s="4">
        <f t="shared" si="0"/>
        <v>3332965.5652890075</v>
      </c>
    </row>
    <row r="19" spans="1:3" x14ac:dyDescent="0.35">
      <c r="A19" s="1">
        <v>17</v>
      </c>
      <c r="B19" s="4">
        <f>'Standard Deviation'!C19</f>
        <v>3691393.5517099597</v>
      </c>
      <c r="C19" s="4">
        <f t="shared" si="0"/>
        <v>3599108.7129172105</v>
      </c>
    </row>
    <row r="20" spans="1:3" x14ac:dyDescent="0.35">
      <c r="A20" s="1">
        <v>18</v>
      </c>
      <c r="B20" s="4">
        <f>'Standard Deviation'!C20</f>
        <v>3986157.8028675779</v>
      </c>
      <c r="C20" s="4">
        <f t="shared" si="0"/>
        <v>3886503.8577958886</v>
      </c>
    </row>
    <row r="21" spans="1:3" x14ac:dyDescent="0.35">
      <c r="A21" s="1">
        <v>19</v>
      </c>
      <c r="B21" s="4">
        <f>'Standard Deviation'!C21</f>
        <v>4304459.4966043718</v>
      </c>
      <c r="C21" s="4">
        <f t="shared" si="0"/>
        <v>4196848.009189263</v>
      </c>
    </row>
    <row r="22" spans="1:3" x14ac:dyDescent="0.35">
      <c r="A22" s="1">
        <v>20</v>
      </c>
      <c r="B22" s="4">
        <f>'Standard Deviation'!C22</f>
        <v>4648178.1390035655</v>
      </c>
      <c r="C22" s="4">
        <f t="shared" si="0"/>
        <v>4531973.6855284767</v>
      </c>
    </row>
    <row r="23" spans="1:3" x14ac:dyDescent="0.35">
      <c r="A23" s="1">
        <v>21</v>
      </c>
      <c r="B23" s="4">
        <f>'Standard Deviation'!C23</f>
        <v>5019343.3180064708</v>
      </c>
      <c r="C23" s="4">
        <f t="shared" si="0"/>
        <v>4893859.735056309</v>
      </c>
    </row>
    <row r="24" spans="1:3" x14ac:dyDescent="0.35">
      <c r="A24" s="1">
        <v>22</v>
      </c>
      <c r="B24" s="4">
        <f>'Standard Deviation'!C24</f>
        <v>5420146.6877121516</v>
      </c>
      <c r="C24" s="4">
        <f t="shared" si="0"/>
        <v>5284643.0205193479</v>
      </c>
    </row>
    <row r="25" spans="1:3" x14ac:dyDescent="0.35">
      <c r="A25" s="1">
        <v>23</v>
      </c>
      <c r="B25" s="4">
        <f>'Standard Deviation'!C25</f>
        <v>5852954.9096444435</v>
      </c>
      <c r="C25" s="4">
        <f t="shared" si="0"/>
        <v>5706631.0369033329</v>
      </c>
    </row>
    <row r="26" spans="1:3" x14ac:dyDescent="0.35">
      <c r="A26" s="1">
        <v>24</v>
      </c>
      <c r="B26" s="4">
        <f>'Standard Deviation'!C26</f>
        <v>6320323.627401852</v>
      </c>
      <c r="C26" s="4">
        <f t="shared" si="0"/>
        <v>6162315.5367168058</v>
      </c>
    </row>
    <row r="27" spans="1:3" x14ac:dyDescent="0.35">
      <c r="A27" s="1">
        <v>25</v>
      </c>
      <c r="B27" s="4">
        <f>'Standard Deviation'!C27</f>
        <v>6825012.5572077539</v>
      </c>
      <c r="C27" s="4">
        <f t="shared" si="0"/>
        <v>6654387.24327756</v>
      </c>
    </row>
    <row r="28" spans="1:3" x14ac:dyDescent="0.35">
      <c r="A28" s="1">
        <v>26</v>
      </c>
      <c r="B28" s="4">
        <f>'Standard Deviation'!C28</f>
        <v>7370001.7834675154</v>
      </c>
      <c r="C28" s="4">
        <f t="shared" si="0"/>
        <v>7185751.7388808271</v>
      </c>
    </row>
    <row r="29" spans="1:3" x14ac:dyDescent="0.35">
      <c r="A29" s="1">
        <v>27</v>
      </c>
      <c r="B29" s="4">
        <f>'Standard Deviation'!C29</f>
        <v>7958509.355554428</v>
      </c>
      <c r="C29" s="4">
        <f t="shared" si="0"/>
        <v>7759546.6216655672</v>
      </c>
    </row>
    <row r="30" spans="1:3" x14ac:dyDescent="0.35">
      <c r="A30" s="1">
        <v>28</v>
      </c>
      <c r="B30" s="4">
        <f>'Standard Deviation'!C30</f>
        <v>8594010.2897298746</v>
      </c>
      <c r="C30" s="4">
        <f t="shared" si="0"/>
        <v>8379160.0324866278</v>
      </c>
    </row>
    <row r="31" spans="1:3" x14ac:dyDescent="0.35">
      <c r="A31" s="1">
        <v>29</v>
      </c>
      <c r="B31" s="4">
        <f>'Standard Deviation'!C31</f>
        <v>9280257.088400159</v>
      </c>
      <c r="C31" s="4">
        <f t="shared" si="0"/>
        <v>9048250.6611901559</v>
      </c>
    </row>
    <row r="32" spans="1:3" x14ac:dyDescent="0.35">
      <c r="A32" s="1">
        <v>30</v>
      </c>
      <c r="B32" s="4">
        <f>'Standard Deviation'!C32</f>
        <v>10021301.89787199</v>
      </c>
      <c r="C32" s="4">
        <f t="shared" si="0"/>
        <v>9770769.3504251894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Standard Deviation</vt:lpstr>
      <vt:lpstr>Inflation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 K</dc:creator>
  <cp:lastModifiedBy>Justin Lake</cp:lastModifiedBy>
  <dcterms:created xsi:type="dcterms:W3CDTF">2026-02-16T07:15:49Z</dcterms:created>
  <dcterms:modified xsi:type="dcterms:W3CDTF">2026-02-20T05:29:52Z</dcterms:modified>
</cp:coreProperties>
</file>