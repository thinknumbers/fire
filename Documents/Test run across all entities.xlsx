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ak\OneDrive\Desktop\FIRE Wealth Advisers\Portfolio construction tool\Think Numbers\"/>
    </mc:Choice>
  </mc:AlternateContent>
  <xr:revisionPtr revIDLastSave="0" documentId="8_{BB1A2F44-58A7-496F-8A91-8110E5DE3E40}" xr6:coauthVersionLast="47" xr6:coauthVersionMax="47" xr10:uidLastSave="{00000000-0000-0000-0000-000000000000}"/>
  <bookViews>
    <workbookView xWindow="14295" yWindow="0" windowWidth="14610" windowHeight="15585" xr2:uid="{F8E93EA8-9BD6-4FE9-AA0C-218BEFD08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N3" i="1"/>
  <c r="N4" i="1"/>
  <c r="N5" i="1"/>
  <c r="N6" i="1"/>
  <c r="N7" i="1"/>
  <c r="N8" i="1"/>
  <c r="N9" i="1"/>
  <c r="N10" i="1"/>
  <c r="N11" i="1"/>
  <c r="N12" i="1"/>
  <c r="N13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2" i="1"/>
</calcChain>
</file>

<file path=xl/sharedStrings.xml><?xml version="1.0" encoding="utf-8"?>
<sst xmlns="http://schemas.openxmlformats.org/spreadsheetml/2006/main" count="30" uniqueCount="22">
  <si>
    <t>Australian Equities</t>
  </si>
  <si>
    <t>Developed World Equities</t>
  </si>
  <si>
    <t>Emerging Markets Equities</t>
  </si>
  <si>
    <t>Hedge Fund</t>
  </si>
  <si>
    <t>Australian Bonds</t>
  </si>
  <si>
    <t>Global Bonds</t>
  </si>
  <si>
    <t>High Yield Bonds</t>
  </si>
  <si>
    <t>Emerging Markets Bonds</t>
  </si>
  <si>
    <t>Cash</t>
  </si>
  <si>
    <t>US Large Cap Equities</t>
  </si>
  <si>
    <t>US Small Cap Equities</t>
  </si>
  <si>
    <t>Global REITs</t>
  </si>
  <si>
    <t>Commodities</t>
  </si>
  <si>
    <t>Total</t>
  </si>
  <si>
    <t>Super Accumulation</t>
  </si>
  <si>
    <t>Portfolio 5</t>
  </si>
  <si>
    <t>Return</t>
  </si>
  <si>
    <t>Risk</t>
  </si>
  <si>
    <t>Super Pension</t>
  </si>
  <si>
    <t>Family Trust</t>
  </si>
  <si>
    <t>Company</t>
  </si>
  <si>
    <t>Personal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</si>
</sst>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111827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Fill="1" applyBorder="1" applyAlignment="1">
      <alignment vertical="center"/>
    </xf>
    <xf numFmtId="6" fontId="5" fillId="0" borderId="0" xfId="0" applyNumberFormat="1" applyFont="1" applyFill="1" applyBorder="1" applyAlignment="1">
      <alignment horizontal="right" vertical="center" wrapText="1"/>
    </xf>
    <xf numFmtId="10" fontId="5" fillId="0" borderId="0" xfId="0" applyNumberFormat="1" applyFont="1" applyFill="1" applyBorder="1" applyAlignment="1">
      <alignment horizontal="right" vertical="center" wrapText="1"/>
    </xf>
    <xf numFmtId="0" fontId="3" fillId="0" borderId="0" xfId="0" applyFont="1" applyFill="1"/>
    <xf numFmtId="0" fontId="6" fillId="0" borderId="0" xfId="0" applyFont="1" applyFill="1" applyBorder="1" applyAlignment="1">
      <alignment horizontal="left" vertical="center" wrapText="1"/>
    </xf>
    <xf numFmtId="6" fontId="6" fillId="0" borderId="0" xfId="0" applyNumberFormat="1" applyFont="1" applyFill="1" applyBorder="1" applyAlignment="1">
      <alignment horizontal="right" vertical="center" wrapText="1"/>
    </xf>
    <xf numFmtId="10" fontId="6" fillId="0" borderId="0" xfId="0" applyNumberFormat="1" applyFont="1" applyFill="1" applyBorder="1" applyAlignment="1">
      <alignment horizontal="right" vertical="center" wrapText="1"/>
    </xf>
    <xf numFmtId="6" fontId="7" fillId="0" borderId="0" xfId="0" applyNumberFormat="1" applyFont="1" applyFill="1" applyBorder="1" applyAlignment="1">
      <alignment horizontal="right" vertical="center" wrapText="1"/>
    </xf>
    <xf numFmtId="10" fontId="7" fillId="0" borderId="0" xfId="0" applyNumberFormat="1" applyFont="1" applyFill="1" applyBorder="1" applyAlignment="1">
      <alignment horizontal="right" vertical="center" wrapText="1"/>
    </xf>
    <xf numFmtId="10" fontId="3" fillId="0" borderId="0" xfId="0" applyNumberFormat="1" applyFont="1"/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43D3-117C-4679-A923-BD698417FBDC}">
  <dimension ref="A1:O47"/>
  <sheetViews>
    <sheetView tabSelected="1" workbookViewId="0">
      <selection activeCell="O10" sqref="O10:O14"/>
    </sheetView>
  </sheetViews>
  <sheetFormatPr defaultRowHeight="12.75" x14ac:dyDescent="0.2"/>
  <cols>
    <col min="1" max="1" width="22.140625" style="3" bestFit="1" customWidth="1"/>
    <col min="2" max="2" width="10.28515625" style="3" bestFit="1" customWidth="1"/>
    <col min="3" max="3" width="7.7109375" style="3" bestFit="1" customWidth="1"/>
    <col min="4" max="4" width="3.42578125" style="3" customWidth="1"/>
    <col min="5" max="5" width="10.28515625" style="3" bestFit="1" customWidth="1"/>
    <col min="6" max="6" width="7.7109375" style="3" bestFit="1" customWidth="1"/>
    <col min="7" max="7" width="3" style="3" customWidth="1"/>
    <col min="8" max="8" width="10.28515625" style="3" bestFit="1" customWidth="1"/>
    <col min="9" max="9" width="7.7109375" style="3" bestFit="1" customWidth="1"/>
    <col min="10" max="10" width="3.5703125" style="3" customWidth="1"/>
    <col min="11" max="11" width="10.28515625" style="3" bestFit="1" customWidth="1"/>
    <col min="12" max="12" width="7.7109375" style="3" bestFit="1" customWidth="1"/>
    <col min="13" max="13" width="2.7109375" style="3" customWidth="1"/>
    <col min="14" max="14" width="10.28515625" style="3" bestFit="1" customWidth="1"/>
    <col min="15" max="15" width="7.7109375" style="3" bestFit="1" customWidth="1"/>
    <col min="16" max="16384" width="9.140625" style="3"/>
  </cols>
  <sheetData>
    <row r="1" spans="1:15" ht="30" customHeight="1" x14ac:dyDescent="0.2">
      <c r="A1" s="1" t="s">
        <v>15</v>
      </c>
      <c r="B1" s="2" t="s">
        <v>14</v>
      </c>
      <c r="C1" s="2"/>
      <c r="E1" s="2" t="s">
        <v>18</v>
      </c>
      <c r="F1" s="2"/>
      <c r="H1" s="2" t="s">
        <v>19</v>
      </c>
      <c r="I1" s="2"/>
      <c r="K1" s="2" t="s">
        <v>20</v>
      </c>
      <c r="L1" s="2"/>
      <c r="N1" s="2" t="s">
        <v>21</v>
      </c>
      <c r="O1" s="2"/>
    </row>
    <row r="2" spans="1:15" x14ac:dyDescent="0.2">
      <c r="A2" s="4" t="s">
        <v>0</v>
      </c>
      <c r="B2" s="5">
        <f>C2*$B$15</f>
        <v>215000</v>
      </c>
      <c r="C2" s="6">
        <v>0.215</v>
      </c>
      <c r="E2" s="5">
        <f>F2*$E$15</f>
        <v>208000</v>
      </c>
      <c r="F2" s="6">
        <v>0.20799999999999999</v>
      </c>
      <c r="H2" s="5">
        <f>I2*$H$15</f>
        <v>216000</v>
      </c>
      <c r="I2" s="6">
        <v>0.216</v>
      </c>
      <c r="J2" s="7"/>
      <c r="K2" s="5">
        <f>L2*$K$15</f>
        <v>179000</v>
      </c>
      <c r="L2" s="6">
        <v>0.17899999999999999</v>
      </c>
      <c r="M2" s="7"/>
      <c r="N2" s="5">
        <f>O2*$N$15</f>
        <v>189000</v>
      </c>
      <c r="O2" s="6">
        <v>0.189</v>
      </c>
    </row>
    <row r="3" spans="1:15" x14ac:dyDescent="0.2">
      <c r="A3" s="4" t="s">
        <v>9</v>
      </c>
      <c r="B3" s="5">
        <f t="shared" ref="B3:B14" si="0">C3*$B$15</f>
        <v>57000</v>
      </c>
      <c r="C3" s="6">
        <v>5.7000000000000002E-2</v>
      </c>
      <c r="E3" s="5">
        <f t="shared" ref="E3:E14" si="1">F3*$E$15</f>
        <v>109000</v>
      </c>
      <c r="F3" s="6">
        <v>0.109</v>
      </c>
      <c r="H3" s="5">
        <f t="shared" ref="H3:H14" si="2">I3*$H$15</f>
        <v>96000</v>
      </c>
      <c r="I3" s="6">
        <v>9.6000000000000002E-2</v>
      </c>
      <c r="J3" s="7"/>
      <c r="K3" s="5">
        <f t="shared" ref="K3:K14" si="3">L3*$K$15</f>
        <v>81000</v>
      </c>
      <c r="L3" s="6">
        <v>8.1000000000000003E-2</v>
      </c>
      <c r="M3" s="7"/>
      <c r="N3" s="5">
        <f t="shared" ref="N3:N14" si="4">O3*$N$15</f>
        <v>141000</v>
      </c>
      <c r="O3" s="6">
        <v>0.14099999999999999</v>
      </c>
    </row>
    <row r="4" spans="1:15" x14ac:dyDescent="0.2">
      <c r="A4" s="4" t="s">
        <v>10</v>
      </c>
      <c r="B4" s="5">
        <f t="shared" si="0"/>
        <v>10000</v>
      </c>
      <c r="C4" s="6">
        <v>0.01</v>
      </c>
      <c r="E4" s="5">
        <f t="shared" si="1"/>
        <v>5000</v>
      </c>
      <c r="F4" s="6">
        <v>5.0000000000000001E-3</v>
      </c>
      <c r="H4" s="5">
        <f t="shared" si="2"/>
        <v>9000</v>
      </c>
      <c r="I4" s="6">
        <v>8.9999999999999993E-3</v>
      </c>
      <c r="J4" s="7"/>
      <c r="K4" s="5">
        <f t="shared" si="3"/>
        <v>4000</v>
      </c>
      <c r="L4" s="6">
        <v>4.0000000000000001E-3</v>
      </c>
      <c r="M4" s="7"/>
      <c r="N4" s="5">
        <f t="shared" si="4"/>
        <v>14000</v>
      </c>
      <c r="O4" s="6">
        <v>1.4E-2</v>
      </c>
    </row>
    <row r="5" spans="1:15" x14ac:dyDescent="0.2">
      <c r="A5" s="4" t="s">
        <v>1</v>
      </c>
      <c r="B5" s="5">
        <f t="shared" si="0"/>
        <v>1000</v>
      </c>
      <c r="C5" s="6">
        <v>1E-3</v>
      </c>
      <c r="E5" s="5">
        <f t="shared" si="1"/>
        <v>2000</v>
      </c>
      <c r="F5" s="6">
        <v>2E-3</v>
      </c>
      <c r="H5" s="5">
        <f t="shared" si="2"/>
        <v>5000</v>
      </c>
      <c r="I5" s="6">
        <v>5.0000000000000001E-3</v>
      </c>
      <c r="J5" s="7"/>
      <c r="K5" s="5">
        <f t="shared" si="3"/>
        <v>10000</v>
      </c>
      <c r="L5" s="6">
        <v>0.01</v>
      </c>
      <c r="M5" s="7"/>
      <c r="N5" s="5">
        <f t="shared" si="4"/>
        <v>15000</v>
      </c>
      <c r="O5" s="6">
        <v>1.4999999999999999E-2</v>
      </c>
    </row>
    <row r="6" spans="1:15" x14ac:dyDescent="0.2">
      <c r="A6" s="4" t="s">
        <v>2</v>
      </c>
      <c r="B6" s="5">
        <f t="shared" si="0"/>
        <v>35000</v>
      </c>
      <c r="C6" s="6">
        <v>3.5000000000000003E-2</v>
      </c>
      <c r="E6" s="5">
        <f t="shared" si="1"/>
        <v>31000</v>
      </c>
      <c r="F6" s="6">
        <v>3.1E-2</v>
      </c>
      <c r="H6" s="5">
        <f t="shared" si="2"/>
        <v>41000</v>
      </c>
      <c r="I6" s="6">
        <v>4.1000000000000002E-2</v>
      </c>
      <c r="J6" s="7"/>
      <c r="K6" s="5">
        <f t="shared" si="3"/>
        <v>53000</v>
      </c>
      <c r="L6" s="6">
        <v>5.2999999999999999E-2</v>
      </c>
      <c r="M6" s="7"/>
      <c r="N6" s="5">
        <f t="shared" si="4"/>
        <v>52000</v>
      </c>
      <c r="O6" s="6">
        <v>5.1999999999999998E-2</v>
      </c>
    </row>
    <row r="7" spans="1:15" x14ac:dyDescent="0.2">
      <c r="A7" s="4" t="s">
        <v>11</v>
      </c>
      <c r="B7" s="5">
        <f t="shared" si="0"/>
        <v>1000</v>
      </c>
      <c r="C7" s="6">
        <v>1E-3</v>
      </c>
      <c r="E7" s="5">
        <f t="shared" si="1"/>
        <v>2000</v>
      </c>
      <c r="F7" s="6">
        <v>2E-3</v>
      </c>
      <c r="H7" s="5">
        <f t="shared" si="2"/>
        <v>2000</v>
      </c>
      <c r="I7" s="6">
        <v>2E-3</v>
      </c>
      <c r="J7" s="7"/>
      <c r="K7" s="5">
        <f t="shared" si="3"/>
        <v>3000</v>
      </c>
      <c r="L7" s="6">
        <v>3.0000000000000001E-3</v>
      </c>
      <c r="M7" s="7"/>
      <c r="N7" s="5">
        <f t="shared" si="4"/>
        <v>2000</v>
      </c>
      <c r="O7" s="6">
        <v>2E-3</v>
      </c>
    </row>
    <row r="8" spans="1:15" x14ac:dyDescent="0.2">
      <c r="A8" s="4" t="s">
        <v>3</v>
      </c>
      <c r="B8" s="5">
        <f t="shared" si="0"/>
        <v>96000</v>
      </c>
      <c r="C8" s="6">
        <v>9.6000000000000002E-2</v>
      </c>
      <c r="E8" s="5">
        <f t="shared" si="1"/>
        <v>90000</v>
      </c>
      <c r="F8" s="6">
        <v>0.09</v>
      </c>
      <c r="H8" s="5">
        <f t="shared" si="2"/>
        <v>98000</v>
      </c>
      <c r="I8" s="6">
        <v>9.8000000000000004E-2</v>
      </c>
      <c r="J8" s="7"/>
      <c r="K8" s="5">
        <f t="shared" si="3"/>
        <v>103000</v>
      </c>
      <c r="L8" s="6">
        <v>0.10299999999999999</v>
      </c>
      <c r="M8" s="7"/>
      <c r="N8" s="5">
        <f t="shared" si="4"/>
        <v>83000</v>
      </c>
      <c r="O8" s="6">
        <v>8.3000000000000004E-2</v>
      </c>
    </row>
    <row r="9" spans="1:15" x14ac:dyDescent="0.2">
      <c r="A9" s="4" t="s">
        <v>12</v>
      </c>
      <c r="B9" s="5">
        <f t="shared" si="0"/>
        <v>13000</v>
      </c>
      <c r="C9" s="6">
        <v>1.2999999999999999E-2</v>
      </c>
      <c r="E9" s="5">
        <f t="shared" si="1"/>
        <v>14000</v>
      </c>
      <c r="F9" s="6">
        <v>1.4E-2</v>
      </c>
      <c r="H9" s="5">
        <f t="shared" si="2"/>
        <v>20000</v>
      </c>
      <c r="I9" s="6">
        <v>0.02</v>
      </c>
      <c r="J9" s="7"/>
      <c r="K9" s="5">
        <f t="shared" si="3"/>
        <v>11000</v>
      </c>
      <c r="L9" s="6">
        <v>1.0999999999999999E-2</v>
      </c>
      <c r="M9" s="7"/>
      <c r="N9" s="5">
        <f t="shared" si="4"/>
        <v>30000</v>
      </c>
      <c r="O9" s="6">
        <v>0.03</v>
      </c>
    </row>
    <row r="10" spans="1:15" x14ac:dyDescent="0.2">
      <c r="A10" s="4" t="s">
        <v>4</v>
      </c>
      <c r="B10" s="5">
        <f t="shared" si="0"/>
        <v>168000</v>
      </c>
      <c r="C10" s="6">
        <v>0.16800000000000001</v>
      </c>
      <c r="E10" s="5">
        <f t="shared" si="1"/>
        <v>167000</v>
      </c>
      <c r="F10" s="6">
        <v>0.16700000000000001</v>
      </c>
      <c r="H10" s="5">
        <f t="shared" si="2"/>
        <v>136000</v>
      </c>
      <c r="I10" s="6">
        <v>0.13600000000000001</v>
      </c>
      <c r="J10" s="7"/>
      <c r="K10" s="5">
        <f t="shared" si="3"/>
        <v>140000</v>
      </c>
      <c r="L10" s="6">
        <v>0.14000000000000001</v>
      </c>
      <c r="M10" s="7"/>
      <c r="N10" s="5">
        <f t="shared" si="4"/>
        <v>121000</v>
      </c>
      <c r="O10" s="6">
        <v>0.121</v>
      </c>
    </row>
    <row r="11" spans="1:15" x14ac:dyDescent="0.2">
      <c r="A11" s="4" t="s">
        <v>5</v>
      </c>
      <c r="B11" s="5">
        <f t="shared" si="0"/>
        <v>124000</v>
      </c>
      <c r="C11" s="6">
        <v>0.124</v>
      </c>
      <c r="E11" s="5">
        <f t="shared" si="1"/>
        <v>135000</v>
      </c>
      <c r="F11" s="6">
        <v>0.13500000000000001</v>
      </c>
      <c r="H11" s="5">
        <f t="shared" si="2"/>
        <v>127000</v>
      </c>
      <c r="I11" s="6">
        <v>0.127</v>
      </c>
      <c r="J11" s="7"/>
      <c r="K11" s="5">
        <f t="shared" si="3"/>
        <v>134000</v>
      </c>
      <c r="L11" s="6">
        <v>0.13400000000000001</v>
      </c>
      <c r="M11" s="7"/>
      <c r="N11" s="5">
        <f t="shared" si="4"/>
        <v>98000</v>
      </c>
      <c r="O11" s="6">
        <v>9.8000000000000004E-2</v>
      </c>
    </row>
    <row r="12" spans="1:15" x14ac:dyDescent="0.2">
      <c r="A12" s="4" t="s">
        <v>6</v>
      </c>
      <c r="B12" s="5">
        <f t="shared" si="0"/>
        <v>26000</v>
      </c>
      <c r="C12" s="6">
        <v>2.5999999999999999E-2</v>
      </c>
      <c r="E12" s="5">
        <f t="shared" si="1"/>
        <v>19000</v>
      </c>
      <c r="F12" s="6">
        <v>1.9E-2</v>
      </c>
      <c r="H12" s="5">
        <f t="shared" si="2"/>
        <v>42000</v>
      </c>
      <c r="I12" s="6">
        <v>4.2000000000000003E-2</v>
      </c>
      <c r="J12" s="7"/>
      <c r="K12" s="5">
        <f t="shared" si="3"/>
        <v>49000</v>
      </c>
      <c r="L12" s="6">
        <v>4.9000000000000002E-2</v>
      </c>
      <c r="M12" s="7"/>
      <c r="N12" s="5">
        <f t="shared" si="4"/>
        <v>53000</v>
      </c>
      <c r="O12" s="6">
        <v>5.2999999999999999E-2</v>
      </c>
    </row>
    <row r="13" spans="1:15" x14ac:dyDescent="0.2">
      <c r="A13" s="4" t="s">
        <v>7</v>
      </c>
      <c r="B13" s="5">
        <f t="shared" si="0"/>
        <v>205000</v>
      </c>
      <c r="C13" s="6">
        <v>0.20499999999999999</v>
      </c>
      <c r="E13" s="5">
        <f t="shared" si="1"/>
        <v>173000</v>
      </c>
      <c r="F13" s="6">
        <v>0.17299999999999999</v>
      </c>
      <c r="H13" s="5">
        <f t="shared" si="2"/>
        <v>159000</v>
      </c>
      <c r="I13" s="6">
        <v>0.159</v>
      </c>
      <c r="J13" s="7"/>
      <c r="K13" s="5">
        <f t="shared" si="3"/>
        <v>163000</v>
      </c>
      <c r="L13" s="6">
        <v>0.16300000000000001</v>
      </c>
      <c r="M13" s="7"/>
      <c r="N13" s="5">
        <f t="shared" si="4"/>
        <v>163000</v>
      </c>
      <c r="O13" s="6">
        <v>0.16300000000000001</v>
      </c>
    </row>
    <row r="14" spans="1:15" x14ac:dyDescent="0.2">
      <c r="A14" s="4" t="s">
        <v>8</v>
      </c>
      <c r="B14" s="5">
        <f t="shared" si="0"/>
        <v>49000</v>
      </c>
      <c r="C14" s="6">
        <v>4.9000000000000002E-2</v>
      </c>
      <c r="E14" s="5">
        <f t="shared" si="1"/>
        <v>47000</v>
      </c>
      <c r="F14" s="6">
        <v>4.7E-2</v>
      </c>
      <c r="H14" s="5">
        <f t="shared" si="2"/>
        <v>48000</v>
      </c>
      <c r="I14" s="6">
        <v>4.8000000000000001E-2</v>
      </c>
      <c r="J14" s="7"/>
      <c r="K14" s="5">
        <f t="shared" si="3"/>
        <v>71000</v>
      </c>
      <c r="L14" s="6">
        <v>7.0999999999999994E-2</v>
      </c>
      <c r="M14" s="7"/>
      <c r="N14" s="5">
        <f t="shared" si="4"/>
        <v>38000</v>
      </c>
      <c r="O14" s="6">
        <v>3.7999999999999999E-2</v>
      </c>
    </row>
    <row r="15" spans="1:15" x14ac:dyDescent="0.2">
      <c r="A15" s="8" t="s">
        <v>13</v>
      </c>
      <c r="B15" s="9">
        <v>1000000</v>
      </c>
      <c r="C15" s="10">
        <v>1</v>
      </c>
      <c r="E15" s="9">
        <v>1000000</v>
      </c>
      <c r="F15" s="10">
        <v>1</v>
      </c>
      <c r="H15" s="9">
        <v>1000000</v>
      </c>
      <c r="I15" s="10">
        <v>1</v>
      </c>
      <c r="J15" s="7"/>
      <c r="K15" s="9">
        <v>1000000</v>
      </c>
      <c r="L15" s="10">
        <v>1</v>
      </c>
      <c r="M15" s="7"/>
      <c r="N15" s="11">
        <v>1000000</v>
      </c>
      <c r="O15" s="12">
        <v>1</v>
      </c>
    </row>
    <row r="16" spans="1:15" x14ac:dyDescent="0.2">
      <c r="E16" s="9"/>
      <c r="F16" s="10"/>
    </row>
    <row r="17" spans="1:15" x14ac:dyDescent="0.2">
      <c r="A17" s="4" t="s">
        <v>16</v>
      </c>
      <c r="B17" s="13">
        <v>5.8000000000000003E-2</v>
      </c>
      <c r="E17" s="4" t="s">
        <v>16</v>
      </c>
      <c r="F17" s="13">
        <v>5.8000000000000003E-2</v>
      </c>
      <c r="H17" s="4" t="s">
        <v>16</v>
      </c>
      <c r="I17" s="13">
        <v>5.8999999999999997E-2</v>
      </c>
      <c r="K17" s="4" t="s">
        <v>16</v>
      </c>
      <c r="L17" s="13">
        <v>5.8000000000000003E-2</v>
      </c>
      <c r="N17" s="4" t="s">
        <v>16</v>
      </c>
      <c r="O17" s="13">
        <v>5.8999999999999997E-2</v>
      </c>
    </row>
    <row r="18" spans="1:15" x14ac:dyDescent="0.2">
      <c r="A18" s="4" t="s">
        <v>17</v>
      </c>
      <c r="B18" s="13">
        <v>6.7000000000000004E-2</v>
      </c>
      <c r="E18" s="4" t="s">
        <v>17</v>
      </c>
      <c r="F18" s="13">
        <v>6.7000000000000004E-2</v>
      </c>
      <c r="H18" s="4" t="s">
        <v>17</v>
      </c>
      <c r="I18" s="13">
        <v>7.0000000000000007E-2</v>
      </c>
      <c r="K18" s="4" t="s">
        <v>17</v>
      </c>
      <c r="L18" s="13">
        <v>6.8000000000000005E-2</v>
      </c>
      <c r="N18" s="4" t="s">
        <v>17</v>
      </c>
      <c r="O18" s="13">
        <v>7.0000000000000007E-2</v>
      </c>
    </row>
    <row r="19" spans="1:15" x14ac:dyDescent="0.2">
      <c r="K19" s="7"/>
      <c r="L19" s="7"/>
    </row>
    <row r="20" spans="1:15" x14ac:dyDescent="0.2">
      <c r="K20" s="7"/>
      <c r="L20" s="7"/>
    </row>
    <row r="21" spans="1:15" x14ac:dyDescent="0.2">
      <c r="E21" s="7"/>
      <c r="F21" s="7"/>
      <c r="G21" s="7"/>
      <c r="H21" s="7"/>
      <c r="K21" s="7"/>
      <c r="L21" s="7"/>
    </row>
    <row r="22" spans="1:15" x14ac:dyDescent="0.2">
      <c r="E22" s="7"/>
      <c r="F22" s="7"/>
      <c r="G22" s="7"/>
      <c r="H22" s="7"/>
      <c r="I22" s="14"/>
      <c r="J22" s="7"/>
      <c r="K22" s="7"/>
      <c r="L22" s="7"/>
      <c r="M22" s="7"/>
      <c r="N22" s="7"/>
    </row>
    <row r="23" spans="1:15" x14ac:dyDescent="0.2">
      <c r="E23" s="7"/>
      <c r="F23" s="7"/>
      <c r="G23" s="7"/>
      <c r="H23" s="7"/>
      <c r="I23" s="14"/>
      <c r="J23" s="7"/>
      <c r="K23" s="14"/>
      <c r="L23" s="7"/>
      <c r="M23" s="7"/>
      <c r="N23" s="7"/>
    </row>
    <row r="24" spans="1:15" x14ac:dyDescent="0.2">
      <c r="E24" s="14"/>
      <c r="F24" s="7"/>
      <c r="G24" s="7"/>
      <c r="H24" s="7"/>
      <c r="I24" s="14"/>
      <c r="J24" s="7"/>
      <c r="K24" s="14"/>
      <c r="L24" s="7"/>
      <c r="M24" s="7"/>
      <c r="N24" s="7"/>
    </row>
    <row r="25" spans="1:15" x14ac:dyDescent="0.2">
      <c r="E25" s="14"/>
      <c r="F25" s="7"/>
      <c r="G25" s="7"/>
      <c r="H25" s="7"/>
      <c r="I25" s="14"/>
      <c r="J25" s="7"/>
      <c r="K25" s="14"/>
      <c r="L25" s="7"/>
      <c r="M25" s="7"/>
      <c r="N25" s="7"/>
    </row>
    <row r="26" spans="1:15" x14ac:dyDescent="0.2">
      <c r="E26" s="14"/>
      <c r="F26" s="7"/>
      <c r="G26" s="7"/>
      <c r="H26" s="7"/>
      <c r="I26" s="14"/>
      <c r="J26" s="7"/>
      <c r="K26" s="14"/>
      <c r="L26" s="7"/>
      <c r="M26" s="7"/>
      <c r="N26" s="7"/>
    </row>
    <row r="27" spans="1:15" x14ac:dyDescent="0.2">
      <c r="E27" s="14"/>
      <c r="F27" s="7"/>
      <c r="G27" s="7"/>
      <c r="H27" s="7"/>
      <c r="I27" s="14"/>
      <c r="J27" s="7"/>
      <c r="K27" s="14"/>
      <c r="L27" s="7"/>
      <c r="M27" s="7"/>
      <c r="N27" s="7"/>
    </row>
    <row r="28" spans="1:15" x14ac:dyDescent="0.2">
      <c r="E28" s="14"/>
      <c r="F28" s="7"/>
      <c r="G28" s="7"/>
      <c r="H28" s="7"/>
      <c r="I28" s="14"/>
      <c r="J28" s="7"/>
      <c r="K28" s="14"/>
      <c r="L28" s="7"/>
      <c r="M28" s="7"/>
      <c r="N28" s="7"/>
    </row>
    <row r="29" spans="1:15" x14ac:dyDescent="0.2">
      <c r="E29" s="14"/>
      <c r="F29" s="7"/>
      <c r="G29" s="7"/>
      <c r="H29" s="7"/>
      <c r="I29" s="14"/>
      <c r="J29" s="7"/>
      <c r="K29" s="14"/>
      <c r="L29" s="7"/>
      <c r="M29" s="7"/>
      <c r="N29" s="7"/>
    </row>
    <row r="30" spans="1:15" x14ac:dyDescent="0.2">
      <c r="E30" s="14"/>
      <c r="F30" s="7"/>
      <c r="G30" s="7"/>
      <c r="H30" s="7"/>
      <c r="I30" s="14"/>
      <c r="J30" s="7"/>
      <c r="K30" s="14"/>
      <c r="L30" s="7"/>
      <c r="M30" s="7"/>
      <c r="N30" s="7"/>
    </row>
    <row r="31" spans="1:15" x14ac:dyDescent="0.2">
      <c r="E31" s="14"/>
      <c r="F31" s="7"/>
      <c r="G31" s="7"/>
      <c r="H31" s="7"/>
      <c r="I31" s="14"/>
      <c r="J31" s="7"/>
      <c r="K31" s="14"/>
      <c r="L31" s="7"/>
      <c r="M31" s="7"/>
      <c r="N31" s="7"/>
    </row>
    <row r="32" spans="1:15" x14ac:dyDescent="0.2">
      <c r="E32" s="14"/>
      <c r="F32" s="7"/>
      <c r="G32" s="7"/>
      <c r="H32" s="7"/>
      <c r="I32" s="14"/>
      <c r="J32" s="7"/>
      <c r="K32" s="14"/>
      <c r="L32" s="7"/>
      <c r="M32" s="7"/>
      <c r="N32" s="7"/>
    </row>
    <row r="33" spans="5:14" x14ac:dyDescent="0.2">
      <c r="E33" s="14"/>
      <c r="F33" s="7"/>
      <c r="G33" s="7"/>
      <c r="H33" s="7"/>
      <c r="I33" s="14"/>
      <c r="J33" s="7"/>
      <c r="K33" s="14"/>
      <c r="L33" s="7"/>
      <c r="M33" s="7"/>
      <c r="N33" s="7"/>
    </row>
    <row r="34" spans="5:14" x14ac:dyDescent="0.2">
      <c r="E34" s="14"/>
      <c r="F34" s="7"/>
      <c r="G34" s="7"/>
      <c r="H34" s="7"/>
      <c r="I34" s="7"/>
      <c r="J34" s="7"/>
      <c r="K34" s="14"/>
      <c r="L34" s="7"/>
      <c r="M34" s="7"/>
      <c r="N34" s="7"/>
    </row>
    <row r="35" spans="5:14" x14ac:dyDescent="0.2">
      <c r="E35" s="14"/>
      <c r="F35" s="7"/>
      <c r="G35" s="7"/>
      <c r="H35" s="7"/>
      <c r="I35" s="7"/>
      <c r="J35" s="7"/>
      <c r="K35" s="14"/>
      <c r="L35" s="7"/>
      <c r="M35" s="7"/>
      <c r="N35" s="7"/>
    </row>
    <row r="36" spans="5:14" x14ac:dyDescent="0.2">
      <c r="E36" s="7"/>
      <c r="F36" s="7"/>
      <c r="G36" s="7"/>
      <c r="H36" s="7"/>
      <c r="I36" s="7"/>
      <c r="J36" s="7"/>
      <c r="K36" s="15"/>
      <c r="L36" s="7"/>
      <c r="M36" s="7"/>
      <c r="N36" s="7"/>
    </row>
    <row r="37" spans="5:14" x14ac:dyDescent="0.2"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5:14" x14ac:dyDescent="0.2">
      <c r="E38" s="7"/>
      <c r="F38" s="7"/>
      <c r="G38" s="7"/>
      <c r="H38" s="7"/>
    </row>
    <row r="39" spans="5:14" x14ac:dyDescent="0.2">
      <c r="E39" s="7"/>
      <c r="F39" s="7"/>
      <c r="G39" s="7"/>
      <c r="H39" s="7"/>
    </row>
    <row r="40" spans="5:14" x14ac:dyDescent="0.2">
      <c r="E40" s="7"/>
      <c r="F40" s="7"/>
      <c r="G40" s="7"/>
      <c r="H40" s="7"/>
    </row>
    <row r="41" spans="5:14" x14ac:dyDescent="0.2">
      <c r="E41" s="7"/>
      <c r="F41" s="7"/>
      <c r="G41" s="7"/>
      <c r="H41" s="7"/>
    </row>
    <row r="42" spans="5:14" x14ac:dyDescent="0.2">
      <c r="E42" s="7"/>
      <c r="F42" s="7"/>
      <c r="G42" s="7"/>
      <c r="H42" s="7"/>
    </row>
    <row r="43" spans="5:14" x14ac:dyDescent="0.2">
      <c r="E43" s="7"/>
      <c r="F43" s="7"/>
      <c r="G43" s="7"/>
      <c r="H43" s="7"/>
    </row>
    <row r="44" spans="5:14" x14ac:dyDescent="0.2">
      <c r="E44" s="7"/>
      <c r="F44" s="7"/>
      <c r="G44" s="7"/>
      <c r="H44" s="7"/>
    </row>
    <row r="45" spans="5:14" x14ac:dyDescent="0.2">
      <c r="E45" s="7"/>
      <c r="F45" s="7"/>
      <c r="G45" s="7"/>
      <c r="H45" s="7"/>
    </row>
    <row r="46" spans="5:14" x14ac:dyDescent="0.2">
      <c r="E46" s="7"/>
      <c r="F46" s="7"/>
      <c r="G46" s="7"/>
      <c r="H46" s="7"/>
    </row>
    <row r="47" spans="5:14" x14ac:dyDescent="0.2">
      <c r="E47" s="7"/>
      <c r="F47" s="7"/>
      <c r="G47" s="7"/>
      <c r="H47" s="7"/>
    </row>
  </sheetData>
  <mergeCells count="5">
    <mergeCell ref="B1:C1"/>
    <mergeCell ref="E1:F1"/>
    <mergeCell ref="H1:I1"/>
    <mergeCell ref="K1:L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</dc:creator>
  <cp:lastModifiedBy>D K</cp:lastModifiedBy>
  <dcterms:created xsi:type="dcterms:W3CDTF">2026-01-16T04:12:39Z</dcterms:created>
  <dcterms:modified xsi:type="dcterms:W3CDTF">2026-01-16T06:23:57Z</dcterms:modified>
</cp:coreProperties>
</file>