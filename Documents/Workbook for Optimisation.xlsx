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hink Numbers\FIRE Wealth\Documents\"/>
    </mc:Choice>
  </mc:AlternateContent>
  <xr:revisionPtr revIDLastSave="0" documentId="13_ncr:1_{9D2261C4-E200-4195-A72B-CA179CC66788}" xr6:coauthVersionLast="47" xr6:coauthVersionMax="47" xr10:uidLastSave="{00000000-0000-0000-0000-000000000000}"/>
  <bookViews>
    <workbookView xWindow="19110" yWindow="0" windowWidth="19380" windowHeight="20970" xr2:uid="{D80F92C7-E589-439B-BC4D-83245EFE02B1}"/>
  </bookViews>
  <sheets>
    <sheet name="Data" sheetId="1" r:id="rId1"/>
    <sheet name="Client Details" sheetId="2" r:id="rId2"/>
    <sheet name="Optimisation" sheetId="3" r:id="rId3"/>
    <sheet name="Output (Numerical)" sheetId="4" r:id="rId4"/>
    <sheet name="Output (Graphs)" sheetId="5" r:id="rId5"/>
    <sheet name="Cashflow (Projection)" sheetId="6" r:id="rId6"/>
    <sheet name="Cashflow (Graphs)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4" l="1"/>
  <c r="E34" i="4"/>
  <c r="F34" i="4"/>
  <c r="C34" i="4"/>
  <c r="D16" i="2"/>
  <c r="C16" i="2"/>
  <c r="C3" i="2"/>
  <c r="K12" i="1" l="1"/>
  <c r="K13" i="1"/>
  <c r="K14" i="1"/>
  <c r="K15" i="1"/>
  <c r="K16" i="1"/>
  <c r="K17" i="1"/>
  <c r="K18" i="1"/>
  <c r="K19" i="1"/>
  <c r="K20" i="1"/>
  <c r="K21" i="1"/>
  <c r="K22" i="1"/>
  <c r="K23" i="1"/>
  <c r="K11" i="1"/>
  <c r="H16" i="1" l="1"/>
  <c r="F16" i="1"/>
  <c r="G16" i="1"/>
  <c r="I16" i="1"/>
  <c r="G15" i="1"/>
  <c r="I15" i="1"/>
  <c r="H15" i="1"/>
  <c r="F15" i="1"/>
  <c r="I14" i="1"/>
  <c r="H14" i="1"/>
  <c r="F14" i="1"/>
  <c r="G14" i="1"/>
  <c r="I13" i="1"/>
  <c r="H13" i="1"/>
  <c r="F13" i="1"/>
  <c r="G13" i="1"/>
  <c r="H11" i="1"/>
  <c r="G11" i="1"/>
  <c r="I11" i="1"/>
  <c r="F11" i="1"/>
  <c r="F12" i="1"/>
  <c r="I12" i="1"/>
  <c r="H12" i="1"/>
  <c r="G12" i="1"/>
  <c r="G23" i="1"/>
  <c r="F23" i="1"/>
  <c r="I23" i="1"/>
  <c r="H23" i="1"/>
  <c r="I22" i="1"/>
  <c r="H22" i="1"/>
  <c r="F22" i="1"/>
  <c r="G22" i="1"/>
  <c r="F21" i="1"/>
  <c r="H21" i="1"/>
  <c r="I21" i="1"/>
  <c r="G21" i="1"/>
  <c r="H20" i="1"/>
  <c r="F20" i="1"/>
  <c r="G20" i="1"/>
  <c r="I20" i="1"/>
  <c r="H19" i="1"/>
  <c r="F19" i="1"/>
  <c r="I19" i="1"/>
  <c r="G19" i="1"/>
  <c r="H18" i="1"/>
  <c r="F18" i="1"/>
  <c r="G18" i="1"/>
  <c r="I18" i="1"/>
  <c r="I17" i="1"/>
  <c r="H17" i="1"/>
  <c r="F17" i="1"/>
  <c r="G17" i="1"/>
</calcChain>
</file>

<file path=xl/sharedStrings.xml><?xml version="1.0" encoding="utf-8"?>
<sst xmlns="http://schemas.openxmlformats.org/spreadsheetml/2006/main" count="168" uniqueCount="82">
  <si>
    <t>Super Pension</t>
  </si>
  <si>
    <t>Super Accum</t>
  </si>
  <si>
    <t>Company</t>
  </si>
  <si>
    <t>Family Trust</t>
  </si>
  <si>
    <t xml:space="preserve">Personal </t>
  </si>
  <si>
    <t>Asset Class</t>
  </si>
  <si>
    <t>Expected Return</t>
  </si>
  <si>
    <t>Standard Deviation</t>
  </si>
  <si>
    <t>Proportion of Return</t>
  </si>
  <si>
    <t>Gains (%)</t>
  </si>
  <si>
    <t>Income (%)</t>
  </si>
  <si>
    <t>Min (%)</t>
  </si>
  <si>
    <t>Max (%)</t>
  </si>
  <si>
    <t>Australian Equities</t>
  </si>
  <si>
    <t>Global REITS</t>
  </si>
  <si>
    <t>US Large Cap</t>
  </si>
  <si>
    <t>Hedge Fund</t>
  </si>
  <si>
    <t>US Small Cap</t>
  </si>
  <si>
    <t>Commodity</t>
  </si>
  <si>
    <t>Developed World Equities</t>
  </si>
  <si>
    <t>Total</t>
  </si>
  <si>
    <t>Emerging Markets Equities</t>
  </si>
  <si>
    <t>Australian Bonds</t>
  </si>
  <si>
    <t>Global Bonds</t>
  </si>
  <si>
    <t>High Yield Bonds</t>
  </si>
  <si>
    <t>Emerging Markets Bonds</t>
  </si>
  <si>
    <t>Australian Cash</t>
  </si>
  <si>
    <t>Asset Class14</t>
  </si>
  <si>
    <t>Asset Class15</t>
  </si>
  <si>
    <t>Asset Class16</t>
  </si>
  <si>
    <t>Today's date</t>
  </si>
  <si>
    <t xml:space="preserve">Number of simulations </t>
  </si>
  <si>
    <t>Client's invesment entities</t>
  </si>
  <si>
    <t>Amount ($)</t>
  </si>
  <si>
    <t>Proportion (%)</t>
  </si>
  <si>
    <t xml:space="preserve">Check total </t>
  </si>
  <si>
    <t>Before/ After Tax?</t>
  </si>
  <si>
    <t>Before Tax</t>
  </si>
  <si>
    <t>Portfolio</t>
  </si>
  <si>
    <t xml:space="preserve">Overall </t>
  </si>
  <si>
    <t xml:space="preserve">1 year </t>
  </si>
  <si>
    <t xml:space="preserve">3 year </t>
  </si>
  <si>
    <t xml:space="preserve">5 year </t>
  </si>
  <si>
    <t xml:space="preserve">10 year </t>
  </si>
  <si>
    <t xml:space="preserve">20 year </t>
  </si>
  <si>
    <t xml:space="preserve">Portfolio </t>
  </si>
  <si>
    <t>x</t>
  </si>
  <si>
    <t>No</t>
  </si>
  <si>
    <t>Cash Inflows</t>
  </si>
  <si>
    <t>($)</t>
  </si>
  <si>
    <t>(% of Principal)</t>
  </si>
  <si>
    <t>Cash Outflows</t>
  </si>
  <si>
    <t>Tax Entity 2</t>
  </si>
  <si>
    <t xml:space="preserve">Inflation p.a. </t>
  </si>
  <si>
    <t xml:space="preserve">Fees </t>
  </si>
  <si>
    <t>Cash</t>
  </si>
  <si>
    <t>Tax rates</t>
  </si>
  <si>
    <t>Short Term Capital Gains</t>
  </si>
  <si>
    <t>Long Term Capital Gains</t>
  </si>
  <si>
    <t>Income</t>
  </si>
  <si>
    <t>Aus Equities</t>
  </si>
  <si>
    <t xml:space="preserve">Dev World </t>
  </si>
  <si>
    <t>Em Markets Bonds</t>
  </si>
  <si>
    <t>Em Markets</t>
  </si>
  <si>
    <t>Constraints</t>
  </si>
  <si>
    <t>Tolerance</t>
  </si>
  <si>
    <t>Client Name</t>
  </si>
  <si>
    <t>Other</t>
  </si>
  <si>
    <t>Efficient Frontier</t>
  </si>
  <si>
    <t>Entity 1</t>
  </si>
  <si>
    <t>Entity 2</t>
  </si>
  <si>
    <t>Entity 3</t>
  </si>
  <si>
    <t>Estimating Outcomes</t>
  </si>
  <si>
    <t>TOTAL</t>
  </si>
  <si>
    <t>Asset Allocation - entity 1</t>
  </si>
  <si>
    <t>Asset Allocation - entity 2</t>
  </si>
  <si>
    <t>Asset Allocation - Overall</t>
  </si>
  <si>
    <t>Adjust for inflation</t>
  </si>
  <si>
    <t>Before/ After Tax</t>
  </si>
  <si>
    <t xml:space="preserve">Starting balance Entity 1 as at </t>
  </si>
  <si>
    <t xml:space="preserve">Starting balance Entity 2 as at </t>
  </si>
  <si>
    <t xml:space="preserve">Starting balance Tax Entity 3 as 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</si>
</sst>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-&quot;$&quot;* #,##0_-;\-&quot;$&quot;* #,##0_-;_-&quot;$&quot;* &quot;-&quot;??_-;_-@_-"/>
    <numFmt numFmtId="168" formatCode="_(* #,##0_);_(* \(#,##0\);_(* &quot;-&quot;??_);_(@_)"/>
    <numFmt numFmtId="171" formatCode="0.00000%"/>
    <numFmt numFmtId="172" formatCode="0.00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indexed="64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/>
    <xf numFmtId="9" fontId="5" fillId="0" borderId="1" xfId="0" applyNumberFormat="1" applyFont="1" applyBorder="1"/>
    <xf numFmtId="0" fontId="3" fillId="0" borderId="0" xfId="0" applyFont="1"/>
    <xf numFmtId="0" fontId="3" fillId="0" borderId="4" xfId="0" applyFont="1" applyBorder="1"/>
    <xf numFmtId="0" fontId="3" fillId="0" borderId="7" xfId="0" applyFont="1" applyBorder="1"/>
    <xf numFmtId="166" fontId="4" fillId="0" borderId="2" xfId="0" applyNumberFormat="1" applyFont="1" applyBorder="1" applyAlignment="1">
      <alignment horizontal="center"/>
    </xf>
    <xf numFmtId="0" fontId="7" fillId="0" borderId="1" xfId="0" applyFont="1" applyBorder="1"/>
    <xf numFmtId="0" fontId="6" fillId="0" borderId="0" xfId="0" applyFont="1"/>
    <xf numFmtId="9" fontId="4" fillId="0" borderId="2" xfId="3" applyFont="1" applyFill="1" applyBorder="1" applyAlignment="1" applyProtection="1">
      <alignment horizontal="center"/>
      <protection locked="0"/>
    </xf>
    <xf numFmtId="9" fontId="4" fillId="0" borderId="2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4" fillId="10" borderId="2" xfId="0" applyFont="1" applyFill="1" applyBorder="1" applyProtection="1">
      <protection locked="0"/>
    </xf>
    <xf numFmtId="10" fontId="4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4" fillId="10" borderId="10" xfId="0" applyFont="1" applyFill="1" applyBorder="1" applyAlignment="1" applyProtection="1">
      <alignment horizontal="left"/>
      <protection locked="0"/>
    </xf>
    <xf numFmtId="0" fontId="3" fillId="10" borderId="10" xfId="0" applyFont="1" applyFill="1" applyBorder="1" applyAlignment="1">
      <alignment horizontal="left" vertical="top"/>
    </xf>
    <xf numFmtId="0" fontId="5" fillId="0" borderId="11" xfId="0" applyFont="1" applyBorder="1"/>
    <xf numFmtId="0" fontId="3" fillId="0" borderId="2" xfId="0" applyFont="1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4" fillId="0" borderId="0" xfId="0" applyFont="1"/>
    <xf numFmtId="0" fontId="10" fillId="0" borderId="2" xfId="0" applyFont="1" applyBorder="1"/>
    <xf numFmtId="0" fontId="7" fillId="0" borderId="9" xfId="0" applyFont="1" applyBorder="1"/>
    <xf numFmtId="0" fontId="7" fillId="0" borderId="15" xfId="0" applyFont="1" applyBorder="1"/>
    <xf numFmtId="0" fontId="3" fillId="0" borderId="2" xfId="0" applyFont="1" applyBorder="1"/>
    <xf numFmtId="0" fontId="7" fillId="0" borderId="21" xfId="0" applyFont="1" applyBorder="1"/>
    <xf numFmtId="0" fontId="7" fillId="0" borderId="22" xfId="0" applyFont="1" applyBorder="1"/>
    <xf numFmtId="0" fontId="3" fillId="0" borderId="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0" borderId="22" xfId="0" applyFont="1" applyBorder="1"/>
    <xf numFmtId="0" fontId="3" fillId="0" borderId="4" xfId="0" applyFont="1" applyBorder="1" applyAlignment="1">
      <alignment horizontal="left"/>
    </xf>
    <xf numFmtId="9" fontId="5" fillId="0" borderId="9" xfId="0" applyNumberFormat="1" applyFont="1" applyBorder="1"/>
    <xf numFmtId="0" fontId="3" fillId="0" borderId="2" xfId="0" applyFont="1" applyBorder="1" applyAlignment="1">
      <alignment horizontal="left"/>
    </xf>
    <xf numFmtId="0" fontId="7" fillId="0" borderId="23" xfId="0" applyFont="1" applyBorder="1"/>
    <xf numFmtId="0" fontId="4" fillId="0" borderId="1" xfId="0" applyFont="1" applyBorder="1"/>
    <xf numFmtId="0" fontId="11" fillId="0" borderId="0" xfId="0" applyFont="1"/>
    <xf numFmtId="0" fontId="3" fillId="0" borderId="0" xfId="0" applyFont="1" applyAlignment="1">
      <alignment vertical="top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2" applyFont="1" applyFill="1"/>
    <xf numFmtId="0" fontId="3" fillId="0" borderId="0" xfId="0" applyFont="1" applyAlignment="1">
      <alignment horizontal="center" vertical="top"/>
    </xf>
    <xf numFmtId="0" fontId="4" fillId="0" borderId="2" xfId="0" applyFont="1" applyBorder="1"/>
    <xf numFmtId="166" fontId="4" fillId="12" borderId="2" xfId="0" applyNumberFormat="1" applyFont="1" applyFill="1" applyBorder="1" applyAlignment="1">
      <alignment horizontal="center"/>
    </xf>
    <xf numFmtId="9" fontId="4" fillId="12" borderId="2" xfId="0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68" fontId="4" fillId="12" borderId="2" xfId="1" applyNumberFormat="1" applyFont="1" applyFill="1" applyBorder="1" applyAlignment="1">
      <alignment horizontal="left"/>
    </xf>
    <xf numFmtId="9" fontId="4" fillId="12" borderId="1" xfId="0" applyNumberFormat="1" applyFont="1" applyFill="1" applyBorder="1" applyAlignment="1">
      <alignment horizontal="center"/>
    </xf>
    <xf numFmtId="0" fontId="4" fillId="12" borderId="2" xfId="0" applyFont="1" applyFill="1" applyBorder="1"/>
    <xf numFmtId="0" fontId="4" fillId="0" borderId="9" xfId="0" applyFont="1" applyBorder="1"/>
    <xf numFmtId="9" fontId="4" fillId="12" borderId="22" xfId="0" applyNumberFormat="1" applyFont="1" applyFill="1" applyBorder="1" applyAlignment="1">
      <alignment horizontal="center"/>
    </xf>
    <xf numFmtId="167" fontId="4" fillId="12" borderId="21" xfId="2" applyNumberFormat="1" applyFont="1" applyFill="1" applyBorder="1" applyAlignment="1">
      <alignment horizontal="center"/>
    </xf>
    <xf numFmtId="167" fontId="4" fillId="12" borderId="9" xfId="2" applyNumberFormat="1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4" xfId="0" applyFont="1" applyBorder="1"/>
    <xf numFmtId="167" fontId="3" fillId="0" borderId="2" xfId="2" applyNumberFormat="1" applyFont="1" applyFill="1" applyBorder="1" applyAlignment="1">
      <alignment horizontal="center"/>
    </xf>
    <xf numFmtId="9" fontId="3" fillId="0" borderId="2" xfId="3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9" fontId="4" fillId="0" borderId="2" xfId="0" applyNumberFormat="1" applyFont="1" applyBorder="1"/>
    <xf numFmtId="1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/>
    </xf>
    <xf numFmtId="0" fontId="8" fillId="0" borderId="0" xfId="0" applyFont="1"/>
    <xf numFmtId="0" fontId="12" fillId="0" borderId="0" xfId="0" applyFont="1"/>
    <xf numFmtId="0" fontId="4" fillId="0" borderId="10" xfId="0" applyFont="1" applyBorder="1"/>
    <xf numFmtId="0" fontId="13" fillId="0" borderId="0" xfId="0" applyFont="1"/>
    <xf numFmtId="0" fontId="3" fillId="12" borderId="2" xfId="0" applyFont="1" applyFill="1" applyBorder="1" applyAlignment="1">
      <alignment horizontal="center"/>
    </xf>
    <xf numFmtId="0" fontId="5" fillId="12" borderId="2" xfId="0" applyFont="1" applyFill="1" applyBorder="1"/>
    <xf numFmtId="0" fontId="10" fillId="0" borderId="0" xfId="0" applyFont="1"/>
    <xf numFmtId="0" fontId="14" fillId="0" borderId="3" xfId="0" applyFont="1" applyBorder="1"/>
    <xf numFmtId="0" fontId="5" fillId="0" borderId="3" xfId="0" applyFont="1" applyBorder="1"/>
    <xf numFmtId="14" fontId="10" fillId="0" borderId="0" xfId="0" applyNumberFormat="1" applyFont="1"/>
    <xf numFmtId="0" fontId="5" fillId="2" borderId="0" xfId="0" applyFont="1" applyFill="1"/>
    <xf numFmtId="14" fontId="5" fillId="0" borderId="0" xfId="0" applyNumberFormat="1" applyFont="1"/>
    <xf numFmtId="0" fontId="10" fillId="0" borderId="6" xfId="0" applyFont="1" applyBorder="1"/>
    <xf numFmtId="14" fontId="5" fillId="0" borderId="6" xfId="0" applyNumberFormat="1" applyFont="1" applyBorder="1"/>
    <xf numFmtId="0" fontId="5" fillId="2" borderId="6" xfId="0" applyFont="1" applyFill="1" applyBorder="1"/>
    <xf numFmtId="0" fontId="5" fillId="0" borderId="6" xfId="0" applyFont="1" applyBorder="1"/>
    <xf numFmtId="0" fontId="2" fillId="12" borderId="2" xfId="0" applyFont="1" applyFill="1" applyBorder="1"/>
    <xf numFmtId="166" fontId="5" fillId="12" borderId="2" xfId="0" applyNumberFormat="1" applyFont="1" applyFill="1" applyBorder="1" applyAlignment="1">
      <alignment horizontal="center"/>
    </xf>
    <xf numFmtId="14" fontId="4" fillId="0" borderId="0" xfId="0" applyNumberFormat="1" applyFont="1"/>
    <xf numFmtId="0" fontId="10" fillId="0" borderId="3" xfId="0" applyFont="1" applyBorder="1"/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5" xfId="0" applyFont="1" applyBorder="1" applyAlignment="1">
      <alignment horizontal="center" vertical="top"/>
    </xf>
    <xf numFmtId="172" fontId="4" fillId="11" borderId="2" xfId="0" applyNumberFormat="1" applyFont="1" applyFill="1" applyBorder="1" applyAlignment="1">
      <alignment horizontal="center"/>
    </xf>
    <xf numFmtId="171" fontId="4" fillId="0" borderId="2" xfId="0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Investment over 27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[1]Presentation!$A$2</c:f>
              <c:strCache>
                <c:ptCount val="1"/>
                <c:pt idx="0">
                  <c:v>Super pension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-7.1278825995807121E-2"/>
                  <c:y val="-3.0188675258597829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81F52FC8-6050-4F8F-BD8F-268FBBCD784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990-4950-B76A-157A956876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[1]Presentation!$B$1:$AC$1</c:f>
              <c:numCache>
                <c:formatCode>General</c:formatCode>
                <c:ptCount val="2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</c:numCache>
            </c:numRef>
          </c:cat>
          <c:val>
            <c:numRef>
              <c:f>[1]Presentation!$B$2:$AC$2</c:f>
              <c:numCache>
                <c:formatCode>General</c:formatCode>
                <c:ptCount val="28"/>
                <c:pt idx="0">
                  <c:v>1500000</c:v>
                </c:pt>
                <c:pt idx="1">
                  <c:v>1630500</c:v>
                </c:pt>
                <c:pt idx="2">
                  <c:v>1772353.5</c:v>
                </c:pt>
                <c:pt idx="3">
                  <c:v>1926548.2545</c:v>
                </c:pt>
                <c:pt idx="4">
                  <c:v>2094157.9526415002</c:v>
                </c:pt>
                <c:pt idx="5">
                  <c:v>2276349.6945213107</c:v>
                </c:pt>
                <c:pt idx="6">
                  <c:v>2474392.1179446648</c:v>
                </c:pt>
                <c:pt idx="7">
                  <c:v>2689664.2322058505</c:v>
                </c:pt>
                <c:pt idx="8">
                  <c:v>2923665.0204077596</c:v>
                </c:pt>
                <c:pt idx="9">
                  <c:v>3178023.8771832348</c:v>
                </c:pt>
                <c:pt idx="10">
                  <c:v>3454511.954498176</c:v>
                </c:pt>
                <c:pt idx="11">
                  <c:v>3755054.4945395174</c:v>
                </c:pt>
                <c:pt idx="12">
                  <c:v>4081744.2355644554</c:v>
                </c:pt>
                <c:pt idx="13">
                  <c:v>4436855.9840585627</c:v>
                </c:pt>
                <c:pt idx="14">
                  <c:v>4822862.4546716576</c:v>
                </c:pt>
                <c:pt idx="15">
                  <c:v>5242451.488228092</c:v>
                </c:pt>
                <c:pt idx="16">
                  <c:v>5698544.7677039355</c:v>
                </c:pt>
                <c:pt idx="17">
                  <c:v>6194318.1624941779</c:v>
                </c:pt>
                <c:pt idx="18">
                  <c:v>6733223.8426311715</c:v>
                </c:pt>
                <c:pt idx="19">
                  <c:v>7319014.3169400832</c:v>
                </c:pt>
                <c:pt idx="20">
                  <c:v>7955768.5625138702</c:v>
                </c:pt>
                <c:pt idx="21">
                  <c:v>8647920.4274525773</c:v>
                </c:pt>
                <c:pt idx="22">
                  <c:v>9400289.5046409518</c:v>
                </c:pt>
                <c:pt idx="23">
                  <c:v>10218114.691544715</c:v>
                </c:pt>
                <c:pt idx="24">
                  <c:v>11107090.669709105</c:v>
                </c:pt>
                <c:pt idx="25">
                  <c:v>12073407.557973797</c:v>
                </c:pt>
                <c:pt idx="26">
                  <c:v>13123794.015517516</c:v>
                </c:pt>
                <c:pt idx="27">
                  <c:v>14265564.094867541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90-4950-B76A-157A956876D4}"/>
            </c:ext>
          </c:extLst>
        </c:ser>
        <c:ser>
          <c:idx val="1"/>
          <c:order val="1"/>
          <c:tx>
            <c:strRef>
              <c:f>[1]Presentation!$A$3</c:f>
              <c:strCache>
                <c:ptCount val="1"/>
                <c:pt idx="0">
                  <c:v>Super accumulation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-0.22431865828092243"/>
                  <c:y val="-0.15094337629298918"/>
                </c:manualLayout>
              </c:layout>
              <c:tx>
                <c:rich>
                  <a:bodyPr/>
                  <a:lstStyle/>
                  <a:p>
                    <a:fld id="{9F06E754-5782-4A83-9A8B-E8673B597240}" type="VALUE">
                      <a:rPr lang="en-US" baseline="0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990-4950-B76A-157A956876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[1]Presentation!$B$1:$AC$1</c:f>
              <c:numCache>
                <c:formatCode>General</c:formatCode>
                <c:ptCount val="2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</c:numCache>
            </c:numRef>
          </c:cat>
          <c:val>
            <c:numRef>
              <c:f>[1]Presentation!$B$3:$AC$3</c:f>
              <c:numCache>
                <c:formatCode>General</c:formatCode>
                <c:ptCount val="28"/>
                <c:pt idx="0">
                  <c:v>1500000</c:v>
                </c:pt>
                <c:pt idx="1">
                  <c:v>1613078.25</c:v>
                </c:pt>
                <c:pt idx="2">
                  <c:v>1734680.960415375</c:v>
                </c:pt>
                <c:pt idx="3">
                  <c:v>1865450.7519567681</c:v>
                </c:pt>
                <c:pt idx="4">
                  <c:v>2006078.689618405</c:v>
                </c:pt>
                <c:pt idx="5">
                  <c:v>2157307.9346746332</c:v>
                </c:pt>
                <c:pt idx="6">
                  <c:v>2319937.6719840476</c:v>
                </c:pt>
                <c:pt idx="7">
                  <c:v>2494827.3333554012</c:v>
                </c:pt>
                <c:pt idx="8">
                  <c:v>2682901.1392940646</c:v>
                </c:pt>
                <c:pt idx="9">
                  <c:v>2885152.9831303172</c:v>
                </c:pt>
                <c:pt idx="10">
                  <c:v>3102651.6833400875</c:v>
                </c:pt>
                <c:pt idx="11">
                  <c:v>3336546.6318145217</c:v>
                </c:pt>
                <c:pt idx="12">
                  <c:v>3588073.8679271755</c:v>
                </c:pt>
                <c:pt idx="13">
                  <c:v>3858562.6104977997</c:v>
                </c:pt>
                <c:pt idx="14">
                  <c:v>4149442.2821714818</c:v>
                </c:pt>
                <c:pt idx="15">
                  <c:v>4462250.0633341204</c:v>
                </c:pt>
                <c:pt idx="16">
                  <c:v>4798639.0154835945</c:v>
                </c:pt>
                <c:pt idx="17">
                  <c:v>5160386.8169853333</c:v>
                </c:pt>
                <c:pt idx="18">
                  <c:v>5549405.1573771816</c:v>
                </c:pt>
                <c:pt idx="19">
                  <c:v>5967749.8398686387</c:v>
                </c:pt>
                <c:pt idx="20">
                  <c:v>6417631.6454220563</c:v>
                </c:pt>
                <c:pt idx="21">
                  <c:v>6901428.0158280209</c:v>
                </c:pt>
                <c:pt idx="22">
                  <c:v>7421695.617515224</c:v>
                </c:pt>
                <c:pt idx="23">
                  <c:v>7981183.8524894174</c:v>
                </c:pt>
                <c:pt idx="24">
                  <c:v>8582849.3878012579</c:v>
                </c:pt>
                <c:pt idx="25">
                  <c:v>9229871.7803253494</c:v>
                </c:pt>
                <c:pt idx="26">
                  <c:v>9925670.2794210669</c:v>
                </c:pt>
                <c:pt idx="27">
                  <c:v>10673921.896270365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90-4950-B76A-157A956876D4}"/>
            </c:ext>
          </c:extLst>
        </c:ser>
        <c:ser>
          <c:idx val="2"/>
          <c:order val="2"/>
          <c:tx>
            <c:strRef>
              <c:f>[1]Presentation!$A$5</c:f>
              <c:strCache>
                <c:ptCount val="1"/>
                <c:pt idx="0">
                  <c:v>Family trust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-0.33123689727463312"/>
                  <c:y val="-0.21467502406114014"/>
                </c:manualLayout>
              </c:layout>
              <c:tx>
                <c:rich>
                  <a:bodyPr/>
                  <a:lstStyle/>
                  <a:p>
                    <a:fld id="{E9CBCD9D-EB35-4ABC-8B9D-A3EB83AE1DFD}" type="VALUE">
                      <a:rPr lang="en-US" baseline="0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990-4950-B76A-157A956876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[1]Presentation!$B$1:$AC$1</c:f>
              <c:numCache>
                <c:formatCode>General</c:formatCode>
                <c:ptCount val="2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</c:numCache>
            </c:numRef>
          </c:cat>
          <c:val>
            <c:numRef>
              <c:f>[1]Presentation!$B$5:$AC$5</c:f>
              <c:numCache>
                <c:formatCode>General</c:formatCode>
                <c:ptCount val="28"/>
                <c:pt idx="0">
                  <c:v>1500000</c:v>
                </c:pt>
                <c:pt idx="1">
                  <c:v>1594149.2250000001</c:v>
                </c:pt>
                <c:pt idx="2">
                  <c:v>1694207.8343787338</c:v>
                </c:pt>
                <c:pt idx="3">
                  <c:v>1800546.7374425244</c:v>
                </c:pt>
                <c:pt idx="4">
                  <c:v>1913560.1240468526</c:v>
                </c:pt>
                <c:pt idx="5">
                  <c:v>2033666.9258267959</c:v>
                </c:pt>
                <c:pt idx="6">
                  <c:v>2161312.3691432793</c:v>
                </c:pt>
                <c:pt idx="7">
                  <c:v>2296969.6255017817</c:v>
                </c:pt>
                <c:pt idx="8">
                  <c:v>2441141.5655614706</c:v>
                </c:pt>
                <c:pt idx="9">
                  <c:v>2594362.6232367367</c:v>
                </c:pt>
                <c:pt idx="10">
                  <c:v>2757200.7768012071</c:v>
                </c:pt>
                <c:pt idx="11">
                  <c:v>2930259.6543380283</c:v>
                </c:pt>
                <c:pt idx="12">
                  <c:v>3114180.7713411571</c:v>
                </c:pt>
                <c:pt idx="13">
                  <c:v>3309645.908762272</c:v>
                </c:pt>
                <c:pt idx="14">
                  <c:v>3517379.6403185311</c:v>
                </c:pt>
                <c:pt idx="15">
                  <c:v>3738152.0184297101</c:v>
                </c:pt>
                <c:pt idx="16">
                  <c:v>3972781.4287412721</c:v>
                </c:pt>
                <c:pt idx="17">
                  <c:v>4222137.6238148613</c:v>
                </c:pt>
                <c:pt idx="18">
                  <c:v>4487144.9472318683</c:v>
                </c:pt>
                <c:pt idx="19">
                  <c:v>4768785.7600615658</c:v>
                </c:pt>
                <c:pt idx="20">
                  <c:v>5068104.0823954539</c:v>
                </c:pt>
                <c:pt idx="21">
                  <c:v>5386209.4634466991</c:v>
                </c:pt>
                <c:pt idx="22">
                  <c:v>5724281.0945608141</c:v>
                </c:pt>
                <c:pt idx="23">
                  <c:v>6083572.1803841824</c:v>
                </c:pt>
                <c:pt idx="24">
                  <c:v>6465414.5843940033</c:v>
                </c:pt>
                <c:pt idx="25">
                  <c:v>6871223.7660102649</c:v>
                </c:pt>
                <c:pt idx="26">
                  <c:v>7302504.0275912303</c:v>
                </c:pt>
                <c:pt idx="27">
                  <c:v>7760854.0907626254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90-4950-B76A-157A956876D4}"/>
            </c:ext>
          </c:extLst>
        </c:ser>
        <c:ser>
          <c:idx val="4"/>
          <c:order val="3"/>
          <c:tx>
            <c:strRef>
              <c:f>[1]Presentation!$A$4</c:f>
              <c:strCache>
                <c:ptCount val="1"/>
                <c:pt idx="0">
                  <c:v>Company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-0.39832285115303984"/>
                  <c:y val="-0.14758907904203383"/>
                </c:manualLayout>
              </c:layout>
              <c:tx>
                <c:rich>
                  <a:bodyPr/>
                  <a:lstStyle/>
                  <a:p>
                    <a:fld id="{57311027-ADC4-43FC-8563-03F8CEDC0619}" type="VALUE">
                      <a:rPr lang="en-US" baseline="0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990-4950-B76A-157A956876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[1]Presentation!$B$1:$AC$1</c:f>
              <c:numCache>
                <c:formatCode>General</c:formatCode>
                <c:ptCount val="2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</c:numCache>
            </c:numRef>
          </c:cat>
          <c:val>
            <c:numRef>
              <c:f>[1]Presentation!$B$4:$AC$4</c:f>
              <c:numCache>
                <c:formatCode>General</c:formatCode>
                <c:ptCount val="28"/>
                <c:pt idx="0">
                  <c:v>1500000</c:v>
                </c:pt>
                <c:pt idx="1">
                  <c:v>1591350</c:v>
                </c:pt>
                <c:pt idx="2">
                  <c:v>1688263.2150000001</c:v>
                </c:pt>
                <c:pt idx="3">
                  <c:v>1791078.4447935</c:v>
                </c:pt>
                <c:pt idx="4">
                  <c:v>1900155.1220814241</c:v>
                </c:pt>
                <c:pt idx="5">
                  <c:v>2015874.5690161828</c:v>
                </c:pt>
                <c:pt idx="6">
                  <c:v>2138641.3302692682</c:v>
                </c:pt>
                <c:pt idx="7">
                  <c:v>2268884.5872826665</c:v>
                </c:pt>
                <c:pt idx="8">
                  <c:v>2407059.6586481808</c:v>
                </c:pt>
                <c:pt idx="9">
                  <c:v>2553649.5918598548</c:v>
                </c:pt>
                <c:pt idx="10">
                  <c:v>2709166.8520041201</c:v>
                </c:pt>
                <c:pt idx="11">
                  <c:v>2874155.1132911709</c:v>
                </c:pt>
                <c:pt idx="12">
                  <c:v>3049191.1596906031</c:v>
                </c:pt>
                <c:pt idx="13">
                  <c:v>3234886.9013157608</c:v>
                </c:pt>
                <c:pt idx="14">
                  <c:v>3431891.5136058908</c:v>
                </c:pt>
                <c:pt idx="15">
                  <c:v>3640893.7067844896</c:v>
                </c:pt>
                <c:pt idx="16">
                  <c:v>3862624.1335276649</c:v>
                </c:pt>
                <c:pt idx="17">
                  <c:v>4097857.9432594995</c:v>
                </c:pt>
                <c:pt idx="18">
                  <c:v>4347417.4920040034</c:v>
                </c:pt>
                <c:pt idx="19">
                  <c:v>4612175.2172670476</c:v>
                </c:pt>
                <c:pt idx="20">
                  <c:v>4893056.6879986105</c:v>
                </c:pt>
                <c:pt idx="21">
                  <c:v>5191043.840297726</c:v>
                </c:pt>
                <c:pt idx="22">
                  <c:v>5507178.4101718571</c:v>
                </c:pt>
                <c:pt idx="23">
                  <c:v>5842565.575351323</c:v>
                </c:pt>
                <c:pt idx="24">
                  <c:v>6198377.8188902186</c:v>
                </c:pt>
                <c:pt idx="25">
                  <c:v>6575859.0280606328</c:v>
                </c:pt>
                <c:pt idx="26">
                  <c:v>6976328.8428695248</c:v>
                </c:pt>
                <c:pt idx="27">
                  <c:v>7401187.269400279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90-4950-B76A-157A956876D4}"/>
            </c:ext>
          </c:extLst>
        </c:ser>
        <c:ser>
          <c:idx val="3"/>
          <c:order val="4"/>
          <c:tx>
            <c:strRef>
              <c:f>[1]Presentation!$A$6</c:f>
              <c:strCache>
                <c:ptCount val="1"/>
                <c:pt idx="0">
                  <c:v>Personal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-0.41299790356394128"/>
                  <c:y val="-8.3857431273882926E-2"/>
                </c:manualLayout>
              </c:layout>
              <c:tx>
                <c:rich>
                  <a:bodyPr/>
                  <a:lstStyle/>
                  <a:p>
                    <a:fld id="{597B3A62-8563-4CE1-8C97-DB11DFA6E4C4}" type="VALUE">
                      <a:rPr lang="en-US" baseline="0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D990-4950-B76A-157A956876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[1]Presentation!$B$1:$AC$1</c:f>
              <c:numCache>
                <c:formatCode>General</c:formatCode>
                <c:ptCount val="2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</c:numCache>
            </c:numRef>
          </c:cat>
          <c:val>
            <c:numRef>
              <c:f>[1]Presentation!$B$6:$AC$6</c:f>
              <c:numCache>
                <c:formatCode>General</c:formatCode>
                <c:ptCount val="28"/>
                <c:pt idx="0">
                  <c:v>1500000</c:v>
                </c:pt>
                <c:pt idx="1">
                  <c:v>1579285.2749999999</c:v>
                </c:pt>
                <c:pt idx="2">
                  <c:v>1662761.3198878837</c:v>
                </c:pt>
                <c:pt idx="3">
                  <c:v>1750649.6455589996</c:v>
                </c:pt>
                <c:pt idx="4">
                  <c:v>1843183.4712768649</c:v>
                </c:pt>
                <c:pt idx="5">
                  <c:v>1940608.3435406254</c:v>
                </c:pt>
                <c:pt idx="6">
                  <c:v>2043182.7876639008</c:v>
                </c:pt>
                <c:pt idx="7">
                  <c:v>2151178.9937940333</c:v>
                </c:pt>
                <c:pt idx="8">
                  <c:v>2264883.5391921555</c:v>
                </c:pt>
                <c:pt idx="9">
                  <c:v>2384598.1486907043</c:v>
                </c:pt>
                <c:pt idx="10">
                  <c:v>2510640.4953463264</c:v>
                </c:pt>
                <c:pt idx="11">
                  <c:v>2643345.0434127729</c:v>
                </c:pt>
                <c:pt idx="12">
                  <c:v>2783063.9358706851</c:v>
                </c:pt>
                <c:pt idx="13">
                  <c:v>2930167.9288694113</c:v>
                </c:pt>
                <c:pt idx="14">
                  <c:v>3085047.3755604727</c:v>
                </c:pt>
                <c:pt idx="15">
                  <c:v>3248113.2619333663</c:v>
                </c:pt>
                <c:pt idx="16">
                  <c:v>3419798.2974023889</c:v>
                </c:pt>
                <c:pt idx="17">
                  <c:v>3600558.0630384423</c:v>
                </c:pt>
                <c:pt idx="18">
                  <c:v>3790872.220492756</c:v>
                </c:pt>
                <c:pt idx="19">
                  <c:v>3991245.7848205087</c:v>
                </c:pt>
                <c:pt idx="20">
                  <c:v>4202210.4645818984</c:v>
                </c:pt>
                <c:pt idx="21">
                  <c:v>4424326.0727767339</c:v>
                </c:pt>
                <c:pt idx="22">
                  <c:v>4658182.012356583</c:v>
                </c:pt>
                <c:pt idx="23">
                  <c:v>4904398.8402564134</c:v>
                </c:pt>
                <c:pt idx="24">
                  <c:v>5163629.9140960202</c:v>
                </c:pt>
                <c:pt idx="25">
                  <c:v>5436563.1259209067</c:v>
                </c:pt>
                <c:pt idx="26">
                  <c:v>5723922.7275832389</c:v>
                </c:pt>
                <c:pt idx="27">
                  <c:v>6026471.2526066974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90-4950-B76A-157A9568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247056"/>
        <c:axId val="1537245136"/>
      </c:lineChart>
      <c:catAx>
        <c:axId val="153724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45136"/>
        <c:crosses val="autoZero"/>
        <c:auto val="0"/>
        <c:lblAlgn val="ctr"/>
        <c:lblOffset val="100"/>
        <c:tickLblSkip val="5"/>
        <c:noMultiLvlLbl val="0"/>
      </c:catAx>
      <c:valAx>
        <c:axId val="15372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47056"/>
        <c:crosses val="autoZero"/>
        <c:crossBetween val="between"/>
        <c:majorUnit val="2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4</xdr:col>
      <xdr:colOff>568008</xdr:colOff>
      <xdr:row>5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C00D47-3D0A-4D4F-A52F-82C0BD77337E}"/>
            </a:ext>
          </a:extLst>
        </xdr:cNvPr>
        <xdr:cNvSpPr txBox="1"/>
      </xdr:nvSpPr>
      <xdr:spPr>
        <a:xfrm>
          <a:off x="609600" y="571500"/>
          <a:ext cx="2396808" cy="3873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400" b="1" kern="1200"/>
            <a:t>Run Optimisation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5</xdr:col>
      <xdr:colOff>19050</xdr:colOff>
      <xdr:row>17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04E9FF-1D07-8EF7-47A2-4635019C04EC}"/>
            </a:ext>
          </a:extLst>
        </xdr:cNvPr>
        <xdr:cNvSpPr/>
      </xdr:nvSpPr>
      <xdr:spPr>
        <a:xfrm>
          <a:off x="295275" y="400050"/>
          <a:ext cx="5629275" cy="2857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5</xdr:row>
      <xdr:rowOff>123825</xdr:rowOff>
    </xdr:from>
    <xdr:to>
      <xdr:col>19</xdr:col>
      <xdr:colOff>164817</xdr:colOff>
      <xdr:row>25</xdr:row>
      <xdr:rowOff>83928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3B1A6-7B6B-4A4D-B061-D51699F6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933450"/>
          <a:ext cx="5108292" cy="319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276226</xdr:colOff>
      <xdr:row>8</xdr:row>
      <xdr:rowOff>123825</xdr:rowOff>
    </xdr:from>
    <xdr:to>
      <xdr:col>3</xdr:col>
      <xdr:colOff>381001</xdr:colOff>
      <xdr:row>21</xdr:row>
      <xdr:rowOff>49882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26C945-A7E3-428E-9EBF-B55CE97E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6" y="1419225"/>
          <a:ext cx="3181350" cy="2031082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581026</xdr:colOff>
      <xdr:row>2</xdr:row>
      <xdr:rowOff>123825</xdr:rowOff>
    </xdr:from>
    <xdr:to>
      <xdr:col>9</xdr:col>
      <xdr:colOff>57747</xdr:colOff>
      <xdr:row>15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1E2CEE-AF79-4B00-8EB5-2FFAF24EC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1" y="447675"/>
          <a:ext cx="3162896" cy="201930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590551</xdr:colOff>
      <xdr:row>18</xdr:row>
      <xdr:rowOff>9525</xdr:rowOff>
    </xdr:from>
    <xdr:to>
      <xdr:col>9</xdr:col>
      <xdr:colOff>67272</xdr:colOff>
      <xdr:row>30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7B6804-56A4-407B-A44C-96F3A1D3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6" y="2924175"/>
          <a:ext cx="3162896" cy="2019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12</xdr:col>
      <xdr:colOff>571500</xdr:colOff>
      <xdr:row>25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3B51C-056E-47DA-B493-47293A8F1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ak\OneDrive\Desktop\FIRE%20Wealth%20Advisers\Business%20Development\Presentation%20to%20Family%20Lawyers\Investment%20returns%20over%20time%20across%20structures.xlsx" TargetMode="External"/><Relationship Id="rId1" Type="http://schemas.openxmlformats.org/officeDocument/2006/relationships/externalLinkPath" Target="file:///C:\Users\danak\OneDrive\Desktop\FIRE%20Wealth%20Advisers\Business%20Development\Presentation%20to%20Family%20Lawyers\Investment%20returns%20over%20time%20across%20struc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resentation"/>
      <sheetName val="With pension payments"/>
    </sheetNames>
    <sheetDataSet>
      <sheetData sheetId="0"/>
      <sheetData sheetId="1">
        <row r="1">
          <cell r="B1">
            <v>2025</v>
          </cell>
          <cell r="C1">
            <v>2026</v>
          </cell>
          <cell r="D1">
            <v>2027</v>
          </cell>
          <cell r="E1">
            <v>2028</v>
          </cell>
          <cell r="F1">
            <v>2029</v>
          </cell>
          <cell r="G1">
            <v>2030</v>
          </cell>
          <cell r="H1">
            <v>2031</v>
          </cell>
          <cell r="I1">
            <v>2032</v>
          </cell>
          <cell r="J1">
            <v>2033</v>
          </cell>
          <cell r="K1">
            <v>2034</v>
          </cell>
          <cell r="L1">
            <v>2035</v>
          </cell>
          <cell r="M1">
            <v>2036</v>
          </cell>
          <cell r="N1">
            <v>2037</v>
          </cell>
          <cell r="O1">
            <v>2038</v>
          </cell>
          <cell r="P1">
            <v>2039</v>
          </cell>
          <cell r="Q1">
            <v>2040</v>
          </cell>
          <cell r="R1">
            <v>2041</v>
          </cell>
          <cell r="S1">
            <v>2042</v>
          </cell>
          <cell r="T1">
            <v>2043</v>
          </cell>
          <cell r="U1">
            <v>2044</v>
          </cell>
          <cell r="V1">
            <v>2045</v>
          </cell>
          <cell r="W1">
            <v>2046</v>
          </cell>
          <cell r="X1">
            <v>2047</v>
          </cell>
          <cell r="Y1">
            <v>2048</v>
          </cell>
          <cell r="Z1">
            <v>2049</v>
          </cell>
          <cell r="AA1">
            <v>2050</v>
          </cell>
          <cell r="AB1">
            <v>2051</v>
          </cell>
          <cell r="AC1">
            <v>2052</v>
          </cell>
        </row>
        <row r="2">
          <cell r="A2" t="str">
            <v>Super pension</v>
          </cell>
          <cell r="B2">
            <v>1500000</v>
          </cell>
          <cell r="C2">
            <v>1630500</v>
          </cell>
          <cell r="D2">
            <v>1772353.5</v>
          </cell>
          <cell r="E2">
            <v>1926548.2545</v>
          </cell>
          <cell r="F2">
            <v>2094157.9526415002</v>
          </cell>
          <cell r="G2">
            <v>2276349.6945213107</v>
          </cell>
          <cell r="H2">
            <v>2474392.1179446648</v>
          </cell>
          <cell r="I2">
            <v>2689664.2322058505</v>
          </cell>
          <cell r="J2">
            <v>2923665.0204077596</v>
          </cell>
          <cell r="K2">
            <v>3178023.8771832348</v>
          </cell>
          <cell r="L2">
            <v>3454511.954498176</v>
          </cell>
          <cell r="M2">
            <v>3755054.4945395174</v>
          </cell>
          <cell r="N2">
            <v>4081744.2355644554</v>
          </cell>
          <cell r="O2">
            <v>4436855.9840585627</v>
          </cell>
          <cell r="P2">
            <v>4822862.4546716576</v>
          </cell>
          <cell r="Q2">
            <v>5242451.488228092</v>
          </cell>
          <cell r="R2">
            <v>5698544.7677039355</v>
          </cell>
          <cell r="S2">
            <v>6194318.1624941779</v>
          </cell>
          <cell r="T2">
            <v>6733223.8426311715</v>
          </cell>
          <cell r="U2">
            <v>7319014.3169400832</v>
          </cell>
          <cell r="V2">
            <v>7955768.5625138702</v>
          </cell>
          <cell r="W2">
            <v>8647920.4274525773</v>
          </cell>
          <cell r="X2">
            <v>9400289.5046409518</v>
          </cell>
          <cell r="Y2">
            <v>10218114.691544715</v>
          </cell>
          <cell r="Z2">
            <v>11107090.669709105</v>
          </cell>
          <cell r="AA2">
            <v>12073407.557973797</v>
          </cell>
          <cell r="AB2">
            <v>13123794.015517516</v>
          </cell>
          <cell r="AC2">
            <v>14265564.094867541</v>
          </cell>
        </row>
        <row r="3">
          <cell r="A3" t="str">
            <v>Super accumulation</v>
          </cell>
          <cell r="B3">
            <v>1500000</v>
          </cell>
          <cell r="C3">
            <v>1613078.25</v>
          </cell>
          <cell r="D3">
            <v>1734680.960415375</v>
          </cell>
          <cell r="E3">
            <v>1865450.7519567681</v>
          </cell>
          <cell r="F3">
            <v>2006078.689618405</v>
          </cell>
          <cell r="G3">
            <v>2157307.9346746332</v>
          </cell>
          <cell r="H3">
            <v>2319937.6719840476</v>
          </cell>
          <cell r="I3">
            <v>2494827.3333554012</v>
          </cell>
          <cell r="J3">
            <v>2682901.1392940646</v>
          </cell>
          <cell r="K3">
            <v>2885152.9831303172</v>
          </cell>
          <cell r="L3">
            <v>3102651.6833400875</v>
          </cell>
          <cell r="M3">
            <v>3336546.6318145217</v>
          </cell>
          <cell r="N3">
            <v>3588073.8679271755</v>
          </cell>
          <cell r="O3">
            <v>3858562.6104977997</v>
          </cell>
          <cell r="P3">
            <v>4149442.2821714818</v>
          </cell>
          <cell r="Q3">
            <v>4462250.0633341204</v>
          </cell>
          <cell r="R3">
            <v>4798639.0154835945</v>
          </cell>
          <cell r="S3">
            <v>5160386.8169853333</v>
          </cell>
          <cell r="T3">
            <v>5549405.1573771816</v>
          </cell>
          <cell r="U3">
            <v>5967749.8398686387</v>
          </cell>
          <cell r="V3">
            <v>6417631.6454220563</v>
          </cell>
          <cell r="W3">
            <v>6901428.0158280209</v>
          </cell>
          <cell r="X3">
            <v>7421695.617515224</v>
          </cell>
          <cell r="Y3">
            <v>7981183.8524894174</v>
          </cell>
          <cell r="Z3">
            <v>8582849.3878012579</v>
          </cell>
          <cell r="AA3">
            <v>9229871.7803253494</v>
          </cell>
          <cell r="AB3">
            <v>9925670.2794210669</v>
          </cell>
          <cell r="AC3">
            <v>10673921.896270365</v>
          </cell>
        </row>
        <row r="4">
          <cell r="A4" t="str">
            <v>Company</v>
          </cell>
          <cell r="B4">
            <v>1500000</v>
          </cell>
          <cell r="C4">
            <v>1591350</v>
          </cell>
          <cell r="D4">
            <v>1688263.2150000001</v>
          </cell>
          <cell r="E4">
            <v>1791078.4447935</v>
          </cell>
          <cell r="F4">
            <v>1900155.1220814241</v>
          </cell>
          <cell r="G4">
            <v>2015874.5690161828</v>
          </cell>
          <cell r="H4">
            <v>2138641.3302692682</v>
          </cell>
          <cell r="I4">
            <v>2268884.5872826665</v>
          </cell>
          <cell r="J4">
            <v>2407059.6586481808</v>
          </cell>
          <cell r="K4">
            <v>2553649.5918598548</v>
          </cell>
          <cell r="L4">
            <v>2709166.8520041201</v>
          </cell>
          <cell r="M4">
            <v>2874155.1132911709</v>
          </cell>
          <cell r="N4">
            <v>3049191.1596906031</v>
          </cell>
          <cell r="O4">
            <v>3234886.9013157608</v>
          </cell>
          <cell r="P4">
            <v>3431891.5136058908</v>
          </cell>
          <cell r="Q4">
            <v>3640893.7067844896</v>
          </cell>
          <cell r="R4">
            <v>3862624.1335276649</v>
          </cell>
          <cell r="S4">
            <v>4097857.9432594995</v>
          </cell>
          <cell r="T4">
            <v>4347417.4920040034</v>
          </cell>
          <cell r="U4">
            <v>4612175.2172670476</v>
          </cell>
          <cell r="V4">
            <v>4893056.6879986105</v>
          </cell>
          <cell r="W4">
            <v>5191043.840297726</v>
          </cell>
          <cell r="X4">
            <v>5507178.4101718571</v>
          </cell>
          <cell r="Y4">
            <v>5842565.575351323</v>
          </cell>
          <cell r="Z4">
            <v>6198377.8188902186</v>
          </cell>
          <cell r="AA4">
            <v>6575859.0280606328</v>
          </cell>
          <cell r="AB4">
            <v>6976328.8428695248</v>
          </cell>
          <cell r="AC4">
            <v>7401187.269400279</v>
          </cell>
        </row>
        <row r="5">
          <cell r="A5" t="str">
            <v>Family trust</v>
          </cell>
          <cell r="B5">
            <v>1500000</v>
          </cell>
          <cell r="C5">
            <v>1594149.2250000001</v>
          </cell>
          <cell r="D5">
            <v>1694207.8343787338</v>
          </cell>
          <cell r="E5">
            <v>1800546.7374425244</v>
          </cell>
          <cell r="F5">
            <v>1913560.1240468526</v>
          </cell>
          <cell r="G5">
            <v>2033666.9258267959</v>
          </cell>
          <cell r="H5">
            <v>2161312.3691432793</v>
          </cell>
          <cell r="I5">
            <v>2296969.6255017817</v>
          </cell>
          <cell r="J5">
            <v>2441141.5655614706</v>
          </cell>
          <cell r="K5">
            <v>2594362.6232367367</v>
          </cell>
          <cell r="L5">
            <v>2757200.7768012071</v>
          </cell>
          <cell r="M5">
            <v>2930259.6543380283</v>
          </cell>
          <cell r="N5">
            <v>3114180.7713411571</v>
          </cell>
          <cell r="O5">
            <v>3309645.908762272</v>
          </cell>
          <cell r="P5">
            <v>3517379.6403185311</v>
          </cell>
          <cell r="Q5">
            <v>3738152.0184297101</v>
          </cell>
          <cell r="R5">
            <v>3972781.4287412721</v>
          </cell>
          <cell r="S5">
            <v>4222137.6238148613</v>
          </cell>
          <cell r="T5">
            <v>4487144.9472318683</v>
          </cell>
          <cell r="U5">
            <v>4768785.7600615658</v>
          </cell>
          <cell r="V5">
            <v>5068104.0823954539</v>
          </cell>
          <cell r="W5">
            <v>5386209.4634466991</v>
          </cell>
          <cell r="X5">
            <v>5724281.0945608141</v>
          </cell>
          <cell r="Y5">
            <v>6083572.1803841824</v>
          </cell>
          <cell r="Z5">
            <v>6465414.5843940033</v>
          </cell>
          <cell r="AA5">
            <v>6871223.7660102649</v>
          </cell>
          <cell r="AB5">
            <v>7302504.0275912303</v>
          </cell>
          <cell r="AC5">
            <v>7760854.0907626254</v>
          </cell>
        </row>
        <row r="6">
          <cell r="A6" t="str">
            <v>Personal</v>
          </cell>
          <cell r="B6">
            <v>1500000</v>
          </cell>
          <cell r="C6">
            <v>1579285.2749999999</v>
          </cell>
          <cell r="D6">
            <v>1662761.3198878837</v>
          </cell>
          <cell r="E6">
            <v>1750649.6455589996</v>
          </cell>
          <cell r="F6">
            <v>1843183.4712768649</v>
          </cell>
          <cell r="G6">
            <v>1940608.3435406254</v>
          </cell>
          <cell r="H6">
            <v>2043182.7876639008</v>
          </cell>
          <cell r="I6">
            <v>2151178.9937940333</v>
          </cell>
          <cell r="J6">
            <v>2264883.5391921555</v>
          </cell>
          <cell r="K6">
            <v>2384598.1486907043</v>
          </cell>
          <cell r="L6">
            <v>2510640.4953463264</v>
          </cell>
          <cell r="M6">
            <v>2643345.0434127729</v>
          </cell>
          <cell r="N6">
            <v>2783063.9358706851</v>
          </cell>
          <cell r="O6">
            <v>2930167.9288694113</v>
          </cell>
          <cell r="P6">
            <v>3085047.3755604727</v>
          </cell>
          <cell r="Q6">
            <v>3248113.2619333663</v>
          </cell>
          <cell r="R6">
            <v>3419798.2974023889</v>
          </cell>
          <cell r="S6">
            <v>3600558.0630384423</v>
          </cell>
          <cell r="T6">
            <v>3790872.220492756</v>
          </cell>
          <cell r="U6">
            <v>3991245.7848205087</v>
          </cell>
          <cell r="V6">
            <v>4202210.4645818984</v>
          </cell>
          <cell r="W6">
            <v>4424326.0727767339</v>
          </cell>
          <cell r="X6">
            <v>4658182.012356583</v>
          </cell>
          <cell r="Y6">
            <v>4904398.8402564134</v>
          </cell>
          <cell r="Z6">
            <v>5163629.9140960202</v>
          </cell>
          <cell r="AA6">
            <v>5436563.1259209067</v>
          </cell>
          <cell r="AB6">
            <v>5723922.7275832389</v>
          </cell>
          <cell r="AC6">
            <v>6026471.2526066974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E6AC-02C8-434B-9E99-3924BB41C429}">
  <dimension ref="B4:S46"/>
  <sheetViews>
    <sheetView tabSelected="1" zoomScaleNormal="100" workbookViewId="0">
      <selection activeCell="D23" sqref="B9:D23"/>
    </sheetView>
  </sheetViews>
  <sheetFormatPr defaultColWidth="8.81640625" defaultRowHeight="13" x14ac:dyDescent="0.3"/>
  <cols>
    <col min="1" max="1" width="4.453125" style="5" customWidth="1"/>
    <col min="2" max="2" width="27.54296875" style="5" customWidth="1"/>
    <col min="3" max="3" width="12.54296875" style="5" customWidth="1"/>
    <col min="4" max="10" width="12.453125" style="5" customWidth="1"/>
    <col min="11" max="12" width="12.54296875" style="6" customWidth="1"/>
    <col min="13" max="13" width="15.54296875" style="5" customWidth="1"/>
    <col min="14" max="14" width="11" style="5" customWidth="1"/>
    <col min="15" max="15" width="15.81640625" style="5" customWidth="1"/>
    <col min="16" max="16" width="4.453125" style="5" customWidth="1"/>
    <col min="17" max="23" width="12.54296875" style="5" customWidth="1"/>
    <col min="24" max="16384" width="8.81640625" style="5"/>
  </cols>
  <sheetData>
    <row r="4" spans="2:19" x14ac:dyDescent="0.3">
      <c r="C4" s="26" t="s">
        <v>56</v>
      </c>
      <c r="D4" s="27"/>
      <c r="E4" s="21" t="s">
        <v>0</v>
      </c>
      <c r="F4" s="20" t="s">
        <v>1</v>
      </c>
      <c r="G4" s="19" t="s">
        <v>2</v>
      </c>
      <c r="H4" s="18" t="s">
        <v>3</v>
      </c>
      <c r="I4" s="17" t="s">
        <v>4</v>
      </c>
      <c r="L4" s="1"/>
      <c r="M4" s="96" t="s">
        <v>65</v>
      </c>
      <c r="N4" s="96"/>
      <c r="O4" s="96"/>
      <c r="Q4" s="96" t="s">
        <v>64</v>
      </c>
      <c r="R4" s="96"/>
      <c r="S4" s="96"/>
    </row>
    <row r="5" spans="2:19" x14ac:dyDescent="0.3">
      <c r="C5" s="25" t="s">
        <v>59</v>
      </c>
      <c r="D5" s="27"/>
      <c r="E5" s="15">
        <v>0</v>
      </c>
      <c r="F5" s="16">
        <v>0.15</v>
      </c>
      <c r="G5" s="16">
        <v>0.3</v>
      </c>
      <c r="H5" s="16">
        <v>0.3</v>
      </c>
      <c r="I5" s="16">
        <v>0.47</v>
      </c>
      <c r="L5" s="2"/>
      <c r="M5" s="39"/>
      <c r="N5" s="40" t="s">
        <v>11</v>
      </c>
      <c r="O5" s="40" t="s">
        <v>12</v>
      </c>
      <c r="Q5" s="28"/>
      <c r="R5" s="28" t="s">
        <v>11</v>
      </c>
      <c r="S5" s="28" t="s">
        <v>12</v>
      </c>
    </row>
    <row r="6" spans="2:19" x14ac:dyDescent="0.3">
      <c r="C6" s="22" t="s">
        <v>57</v>
      </c>
      <c r="D6" s="24"/>
      <c r="E6" s="15">
        <v>0</v>
      </c>
      <c r="F6" s="16">
        <v>0.15</v>
      </c>
      <c r="G6" s="16">
        <v>0.3</v>
      </c>
      <c r="H6" s="16">
        <v>0.3</v>
      </c>
      <c r="I6" s="16">
        <v>0.47</v>
      </c>
      <c r="L6" s="2"/>
      <c r="M6" s="24" t="s">
        <v>60</v>
      </c>
      <c r="N6" s="16">
        <v>0</v>
      </c>
      <c r="O6" s="16">
        <v>1</v>
      </c>
      <c r="Q6" s="42" t="s">
        <v>14</v>
      </c>
      <c r="R6" s="41"/>
      <c r="S6" s="41"/>
    </row>
    <row r="7" spans="2:19" x14ac:dyDescent="0.3">
      <c r="C7" s="22" t="s">
        <v>58</v>
      </c>
      <c r="D7" s="24"/>
      <c r="E7" s="15">
        <v>0</v>
      </c>
      <c r="F7" s="16">
        <v>0.1</v>
      </c>
      <c r="G7" s="16">
        <v>0.3</v>
      </c>
      <c r="H7" s="12">
        <v>0.23499999999999999</v>
      </c>
      <c r="I7" s="12">
        <v>0.23499999999999999</v>
      </c>
      <c r="L7" s="3"/>
      <c r="M7" s="24" t="s">
        <v>15</v>
      </c>
      <c r="N7" s="16">
        <v>0</v>
      </c>
      <c r="O7" s="16">
        <v>1</v>
      </c>
      <c r="Q7" s="42" t="s">
        <v>16</v>
      </c>
      <c r="R7" s="7"/>
      <c r="S7" s="7"/>
    </row>
    <row r="8" spans="2:19" x14ac:dyDescent="0.3">
      <c r="M8" s="24" t="s">
        <v>17</v>
      </c>
      <c r="N8" s="16">
        <v>0</v>
      </c>
      <c r="O8" s="16">
        <v>1</v>
      </c>
      <c r="Q8" s="42" t="s">
        <v>18</v>
      </c>
      <c r="R8" s="7"/>
      <c r="S8" s="7"/>
    </row>
    <row r="9" spans="2:19" ht="14.5" customHeight="1" x14ac:dyDescent="0.3">
      <c r="B9" s="97" t="s">
        <v>5</v>
      </c>
      <c r="C9" s="110" t="s">
        <v>6</v>
      </c>
      <c r="D9" s="110" t="s">
        <v>7</v>
      </c>
      <c r="E9" s="108" t="s">
        <v>0</v>
      </c>
      <c r="F9" s="98" t="s">
        <v>1</v>
      </c>
      <c r="G9" s="100" t="s">
        <v>2</v>
      </c>
      <c r="H9" s="102" t="s">
        <v>3</v>
      </c>
      <c r="I9" s="104" t="s">
        <v>4</v>
      </c>
      <c r="J9" s="111" t="s">
        <v>8</v>
      </c>
      <c r="K9" s="112"/>
      <c r="M9" s="24" t="s">
        <v>61</v>
      </c>
      <c r="N9" s="16">
        <v>0</v>
      </c>
      <c r="O9" s="16">
        <v>1</v>
      </c>
      <c r="Q9" s="44" t="s">
        <v>20</v>
      </c>
      <c r="R9" s="43">
        <v>0</v>
      </c>
      <c r="S9" s="8">
        <v>0.15</v>
      </c>
    </row>
    <row r="10" spans="2:19" x14ac:dyDescent="0.3">
      <c r="B10" s="97"/>
      <c r="C10" s="110"/>
      <c r="D10" s="110"/>
      <c r="E10" s="109"/>
      <c r="F10" s="99"/>
      <c r="G10" s="101"/>
      <c r="H10" s="103"/>
      <c r="I10" s="105"/>
      <c r="J10" s="28" t="s">
        <v>9</v>
      </c>
      <c r="K10" s="28" t="s">
        <v>10</v>
      </c>
      <c r="M10" s="24" t="s">
        <v>63</v>
      </c>
      <c r="N10" s="16">
        <v>0</v>
      </c>
      <c r="O10" s="16">
        <v>1</v>
      </c>
    </row>
    <row r="11" spans="2:19" x14ac:dyDescent="0.3">
      <c r="B11" s="33" t="s">
        <v>13</v>
      </c>
      <c r="C11" s="118">
        <v>8.6999999999999994E-2</v>
      </c>
      <c r="D11" s="118">
        <v>0.17420000000000002</v>
      </c>
      <c r="E11" s="117">
        <v>8.6999999999999994E-2</v>
      </c>
      <c r="F11" s="117">
        <f t="shared" ref="F11:F23" si="0">(E11*J11*(1-$F$7))+(E11*K11*(1-$F$5))</f>
        <v>7.5385499999999994E-2</v>
      </c>
      <c r="G11" s="117">
        <f t="shared" ref="G11:G23" si="1">(E11*J11*(1-$G$7))+(E11*K11*(1-$G$5))</f>
        <v>6.0899999999999989E-2</v>
      </c>
      <c r="H11" s="117">
        <f t="shared" ref="H11:H23" si="2">(E11*J11*(1-$H$7))+(E11*K11*(1-$H$5))</f>
        <v>6.2766149999999993E-2</v>
      </c>
      <c r="I11" s="117">
        <f t="shared" ref="I11:I23" si="3">(E11*J11*(1-$I$7))+(E11*K11*(1-$I$5))</f>
        <v>5.2856849999999997E-2</v>
      </c>
      <c r="J11" s="23">
        <v>0.33</v>
      </c>
      <c r="K11" s="23">
        <f>1-J11</f>
        <v>0.66999999999999993</v>
      </c>
      <c r="M11" s="24" t="s">
        <v>14</v>
      </c>
      <c r="N11" s="16">
        <v>0</v>
      </c>
      <c r="O11" s="16">
        <v>1</v>
      </c>
    </row>
    <row r="12" spans="2:19" x14ac:dyDescent="0.3">
      <c r="B12" s="33" t="s">
        <v>15</v>
      </c>
      <c r="C12" s="118">
        <v>8.4000000000000005E-2</v>
      </c>
      <c r="D12" s="118">
        <v>0.1711</v>
      </c>
      <c r="E12" s="117">
        <v>8.4000000000000005E-2</v>
      </c>
      <c r="F12" s="117">
        <f t="shared" si="0"/>
        <v>7.4130000000000001E-2</v>
      </c>
      <c r="G12" s="117">
        <f t="shared" si="1"/>
        <v>5.8799999999999991E-2</v>
      </c>
      <c r="H12" s="117">
        <f t="shared" si="2"/>
        <v>6.2349000000000002E-2</v>
      </c>
      <c r="I12" s="117">
        <f t="shared" si="3"/>
        <v>5.7350999999999999E-2</v>
      </c>
      <c r="J12" s="23">
        <v>0.65</v>
      </c>
      <c r="K12" s="23">
        <f t="shared" ref="K12:K23" si="4">1-J12</f>
        <v>0.35</v>
      </c>
      <c r="M12" s="24" t="s">
        <v>16</v>
      </c>
      <c r="N12" s="16">
        <v>0</v>
      </c>
      <c r="O12" s="16">
        <v>1</v>
      </c>
    </row>
    <row r="13" spans="2:19" x14ac:dyDescent="0.3">
      <c r="B13" s="33" t="s">
        <v>17</v>
      </c>
      <c r="C13" s="118">
        <v>7.6999999999999999E-2</v>
      </c>
      <c r="D13" s="118">
        <v>0.20809999999999998</v>
      </c>
      <c r="E13" s="117">
        <v>7.6999999999999999E-2</v>
      </c>
      <c r="F13" s="117">
        <f t="shared" si="0"/>
        <v>6.7760000000000001E-2</v>
      </c>
      <c r="G13" s="117">
        <f t="shared" si="1"/>
        <v>5.389999999999999E-2</v>
      </c>
      <c r="H13" s="117">
        <f t="shared" si="2"/>
        <v>5.6902999999999995E-2</v>
      </c>
      <c r="I13" s="117">
        <f t="shared" si="3"/>
        <v>5.1667000000000005E-2</v>
      </c>
      <c r="J13" s="23">
        <v>0.6</v>
      </c>
      <c r="K13" s="23">
        <f t="shared" si="4"/>
        <v>0.4</v>
      </c>
      <c r="M13" s="24" t="s">
        <v>18</v>
      </c>
      <c r="N13" s="16">
        <v>0</v>
      </c>
      <c r="O13" s="16">
        <v>1</v>
      </c>
    </row>
    <row r="14" spans="2:19" x14ac:dyDescent="0.3">
      <c r="B14" s="33" t="s">
        <v>19</v>
      </c>
      <c r="C14" s="118">
        <v>7.0000000000000007E-2</v>
      </c>
      <c r="D14" s="118">
        <v>0.1673</v>
      </c>
      <c r="E14" s="117">
        <v>7.0000000000000007E-2</v>
      </c>
      <c r="F14" s="117">
        <f t="shared" si="0"/>
        <v>6.1285000000000006E-2</v>
      </c>
      <c r="G14" s="117">
        <f t="shared" si="1"/>
        <v>4.9000000000000002E-2</v>
      </c>
      <c r="H14" s="117">
        <f t="shared" si="2"/>
        <v>5.1320500000000005E-2</v>
      </c>
      <c r="I14" s="117">
        <f t="shared" si="3"/>
        <v>4.5489500000000002E-2</v>
      </c>
      <c r="J14" s="23">
        <v>0.51</v>
      </c>
      <c r="K14" s="23">
        <f t="shared" si="4"/>
        <v>0.49</v>
      </c>
      <c r="M14" s="24" t="s">
        <v>22</v>
      </c>
      <c r="N14" s="16">
        <v>0</v>
      </c>
      <c r="O14" s="16">
        <v>1</v>
      </c>
    </row>
    <row r="15" spans="2:19" x14ac:dyDescent="0.3">
      <c r="B15" s="33" t="s">
        <v>21</v>
      </c>
      <c r="C15" s="118">
        <v>8.3000000000000004E-2</v>
      </c>
      <c r="D15" s="118">
        <v>0.2</v>
      </c>
      <c r="E15" s="117">
        <v>8.3000000000000004E-2</v>
      </c>
      <c r="F15" s="117">
        <f t="shared" si="0"/>
        <v>7.2874000000000008E-2</v>
      </c>
      <c r="G15" s="117">
        <f t="shared" si="1"/>
        <v>5.8099999999999999E-2</v>
      </c>
      <c r="H15" s="117">
        <f t="shared" si="2"/>
        <v>6.1121200000000001E-2</v>
      </c>
      <c r="I15" s="117">
        <f t="shared" si="3"/>
        <v>5.4912800000000005E-2</v>
      </c>
      <c r="J15" s="23">
        <v>0.56000000000000005</v>
      </c>
      <c r="K15" s="23">
        <f t="shared" si="4"/>
        <v>0.43999999999999995</v>
      </c>
      <c r="M15" s="24" t="s">
        <v>23</v>
      </c>
      <c r="N15" s="16">
        <v>0</v>
      </c>
      <c r="O15" s="16">
        <v>1</v>
      </c>
    </row>
    <row r="16" spans="2:19" x14ac:dyDescent="0.3">
      <c r="B16" s="33" t="s">
        <v>14</v>
      </c>
      <c r="C16" s="118">
        <v>0.06</v>
      </c>
      <c r="D16" s="118">
        <v>0.15187690989570254</v>
      </c>
      <c r="E16" s="117">
        <v>0.06</v>
      </c>
      <c r="F16" s="117">
        <f t="shared" si="0"/>
        <v>5.2109999999999997E-2</v>
      </c>
      <c r="G16" s="117">
        <f t="shared" si="1"/>
        <v>4.1999999999999996E-2</v>
      </c>
      <c r="H16" s="117">
        <f t="shared" si="2"/>
        <v>4.3442999999999996E-2</v>
      </c>
      <c r="I16" s="117">
        <f t="shared" si="3"/>
        <v>3.7016999999999994E-2</v>
      </c>
      <c r="J16" s="23">
        <v>0.37</v>
      </c>
      <c r="K16" s="23">
        <f t="shared" si="4"/>
        <v>0.63</v>
      </c>
      <c r="M16" s="24" t="s">
        <v>24</v>
      </c>
      <c r="N16" s="16">
        <v>0</v>
      </c>
      <c r="O16" s="16">
        <v>1</v>
      </c>
    </row>
    <row r="17" spans="2:17" x14ac:dyDescent="0.3">
      <c r="B17" s="33" t="s">
        <v>16</v>
      </c>
      <c r="C17" s="118">
        <v>5.1999999999999998E-2</v>
      </c>
      <c r="D17" s="118">
        <v>0.11709996021091178</v>
      </c>
      <c r="E17" s="117">
        <v>5.1999999999999998E-2</v>
      </c>
      <c r="F17" s="117">
        <f t="shared" si="0"/>
        <v>4.4226000000000001E-2</v>
      </c>
      <c r="G17" s="117">
        <f t="shared" si="1"/>
        <v>3.6400000000000002E-2</v>
      </c>
      <c r="H17" s="117">
        <f t="shared" si="2"/>
        <v>3.6433799999999995E-2</v>
      </c>
      <c r="I17" s="117">
        <f t="shared" si="3"/>
        <v>2.7682200000000001E-2</v>
      </c>
      <c r="J17" s="23">
        <v>0.01</v>
      </c>
      <c r="K17" s="23">
        <f t="shared" si="4"/>
        <v>0.99</v>
      </c>
      <c r="M17" s="24" t="s">
        <v>62</v>
      </c>
      <c r="N17" s="16">
        <v>0</v>
      </c>
      <c r="O17" s="16">
        <v>1</v>
      </c>
    </row>
    <row r="18" spans="2:17" x14ac:dyDescent="0.3">
      <c r="B18" s="33" t="s">
        <v>18</v>
      </c>
      <c r="C18" s="118">
        <v>4.2000000000000003E-2</v>
      </c>
      <c r="D18" s="118">
        <v>0.2083748764772074</v>
      </c>
      <c r="E18" s="117">
        <v>4.1999999999999996E-2</v>
      </c>
      <c r="F18" s="117">
        <f t="shared" si="0"/>
        <v>3.5720999999999996E-2</v>
      </c>
      <c r="G18" s="117">
        <f t="shared" si="1"/>
        <v>2.9399999999999992E-2</v>
      </c>
      <c r="H18" s="117">
        <f t="shared" si="2"/>
        <v>2.9427299999999993E-2</v>
      </c>
      <c r="I18" s="117">
        <f t="shared" si="3"/>
        <v>2.2358699999999995E-2</v>
      </c>
      <c r="J18" s="23">
        <v>0.01</v>
      </c>
      <c r="K18" s="23">
        <f t="shared" si="4"/>
        <v>0.99</v>
      </c>
      <c r="M18" s="24" t="s">
        <v>55</v>
      </c>
      <c r="N18" s="16">
        <v>0</v>
      </c>
      <c r="O18" s="16">
        <v>1</v>
      </c>
    </row>
    <row r="19" spans="2:17" x14ac:dyDescent="0.3">
      <c r="B19" s="33" t="s">
        <v>22</v>
      </c>
      <c r="C19" s="118">
        <v>3.7999999999999999E-2</v>
      </c>
      <c r="D19" s="118">
        <v>3.9376015365837888E-2</v>
      </c>
      <c r="E19" s="117">
        <v>3.7999999999999999E-2</v>
      </c>
      <c r="F19" s="117">
        <f t="shared" si="0"/>
        <v>3.2319000000000001E-2</v>
      </c>
      <c r="G19" s="117">
        <f t="shared" si="1"/>
        <v>2.6599999999999999E-2</v>
      </c>
      <c r="H19" s="117">
        <f t="shared" si="2"/>
        <v>2.6624700000000001E-2</v>
      </c>
      <c r="I19" s="117">
        <f t="shared" si="3"/>
        <v>2.0229300000000002E-2</v>
      </c>
      <c r="J19" s="23">
        <v>0.01</v>
      </c>
      <c r="K19" s="23">
        <f t="shared" si="4"/>
        <v>0.99</v>
      </c>
    </row>
    <row r="20" spans="2:17" x14ac:dyDescent="0.3">
      <c r="B20" s="33" t="s">
        <v>23</v>
      </c>
      <c r="C20" s="118">
        <v>3.6000000000000004E-2</v>
      </c>
      <c r="D20" s="118">
        <v>3.5757030774004439E-2</v>
      </c>
      <c r="E20" s="117">
        <v>3.6000000000000004E-2</v>
      </c>
      <c r="F20" s="117">
        <f t="shared" si="0"/>
        <v>3.0600000000000002E-2</v>
      </c>
      <c r="G20" s="117">
        <f t="shared" si="1"/>
        <v>2.52E-2</v>
      </c>
      <c r="H20" s="117">
        <f t="shared" si="2"/>
        <v>2.52E-2</v>
      </c>
      <c r="I20" s="117">
        <f t="shared" si="3"/>
        <v>1.9080000000000003E-2</v>
      </c>
      <c r="J20" s="23">
        <v>0</v>
      </c>
      <c r="K20" s="23">
        <f t="shared" si="4"/>
        <v>1</v>
      </c>
    </row>
    <row r="21" spans="2:17" x14ac:dyDescent="0.3">
      <c r="B21" s="33" t="s">
        <v>24</v>
      </c>
      <c r="C21" s="118">
        <v>5.4000000000000006E-2</v>
      </c>
      <c r="D21" s="118">
        <v>0.11122668592661025</v>
      </c>
      <c r="E21" s="117">
        <v>5.4000000000000006E-2</v>
      </c>
      <c r="F21" s="117">
        <f t="shared" si="0"/>
        <v>4.5927000000000003E-2</v>
      </c>
      <c r="G21" s="117">
        <f t="shared" si="1"/>
        <v>3.7800000000000007E-2</v>
      </c>
      <c r="H21" s="117">
        <f t="shared" si="2"/>
        <v>3.7835100000000003E-2</v>
      </c>
      <c r="I21" s="117">
        <f t="shared" si="3"/>
        <v>2.8746900000000006E-2</v>
      </c>
      <c r="J21" s="23">
        <v>0.01</v>
      </c>
      <c r="K21" s="23">
        <f t="shared" si="4"/>
        <v>0.99</v>
      </c>
    </row>
    <row r="22" spans="2:17" x14ac:dyDescent="0.3">
      <c r="B22" s="33" t="s">
        <v>25</v>
      </c>
      <c r="C22" s="118">
        <v>6.7000000000000004E-2</v>
      </c>
      <c r="D22" s="118">
        <v>0.12621306711658131</v>
      </c>
      <c r="E22" s="117">
        <v>6.7000000000000004E-2</v>
      </c>
      <c r="F22" s="117">
        <f t="shared" si="0"/>
        <v>5.6983499999999999E-2</v>
      </c>
      <c r="G22" s="117">
        <f t="shared" si="1"/>
        <v>4.6899999999999997E-2</v>
      </c>
      <c r="H22" s="117">
        <f t="shared" si="2"/>
        <v>4.6943550000000001E-2</v>
      </c>
      <c r="I22" s="117">
        <f t="shared" si="3"/>
        <v>3.5667450000000003E-2</v>
      </c>
      <c r="J22" s="23">
        <v>0.01</v>
      </c>
      <c r="K22" s="23">
        <f t="shared" si="4"/>
        <v>0.99</v>
      </c>
    </row>
    <row r="23" spans="2:17" x14ac:dyDescent="0.3">
      <c r="B23" s="33" t="s">
        <v>55</v>
      </c>
      <c r="C23" s="118">
        <v>2.8999999999999998E-2</v>
      </c>
      <c r="D23" s="118">
        <v>6.1390655524295604E-3</v>
      </c>
      <c r="E23" s="117">
        <v>2.8999999999999998E-2</v>
      </c>
      <c r="F23" s="117">
        <f t="shared" si="0"/>
        <v>2.4649999999999998E-2</v>
      </c>
      <c r="G23" s="117">
        <f t="shared" si="1"/>
        <v>2.0299999999999999E-2</v>
      </c>
      <c r="H23" s="117">
        <f t="shared" si="2"/>
        <v>2.0299999999999999E-2</v>
      </c>
      <c r="I23" s="117">
        <f t="shared" si="3"/>
        <v>1.537E-2</v>
      </c>
      <c r="J23" s="23">
        <v>0</v>
      </c>
      <c r="K23" s="23">
        <f t="shared" si="4"/>
        <v>1</v>
      </c>
    </row>
    <row r="25" spans="2:17" x14ac:dyDescent="0.3">
      <c r="B25" s="9"/>
      <c r="C25" s="110" t="s">
        <v>13</v>
      </c>
      <c r="D25" s="106" t="s">
        <v>15</v>
      </c>
      <c r="E25" s="106" t="s">
        <v>17</v>
      </c>
      <c r="F25" s="106" t="s">
        <v>19</v>
      </c>
      <c r="G25" s="106" t="s">
        <v>21</v>
      </c>
      <c r="H25" s="106" t="s">
        <v>14</v>
      </c>
      <c r="I25" s="106" t="s">
        <v>16</v>
      </c>
      <c r="J25" s="106" t="s">
        <v>18</v>
      </c>
      <c r="K25" s="106" t="s">
        <v>22</v>
      </c>
      <c r="L25" s="106" t="s">
        <v>23</v>
      </c>
      <c r="M25" s="106" t="s">
        <v>24</v>
      </c>
      <c r="N25" s="106" t="s">
        <v>25</v>
      </c>
      <c r="O25" s="106" t="s">
        <v>26</v>
      </c>
      <c r="P25" s="107"/>
      <c r="Q25" s="107"/>
    </row>
    <row r="26" spans="2:17" x14ac:dyDescent="0.3">
      <c r="B26" s="9"/>
      <c r="C26" s="110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7"/>
      <c r="Q26" s="107"/>
    </row>
    <row r="27" spans="2:17" x14ac:dyDescent="0.3">
      <c r="B27" s="36" t="s">
        <v>13</v>
      </c>
      <c r="C27" s="37">
        <v>1</v>
      </c>
      <c r="D27" s="38">
        <v>0.46268900000000002</v>
      </c>
      <c r="E27" s="38">
        <v>0.52839599999999998</v>
      </c>
      <c r="F27" s="38">
        <v>0.58221699999999998</v>
      </c>
      <c r="G27" s="38">
        <v>0.59844600000000003</v>
      </c>
      <c r="H27" s="38">
        <v>0.56000799999999995</v>
      </c>
      <c r="I27" s="38">
        <v>-0.16219</v>
      </c>
      <c r="J27" s="38">
        <v>0.123853</v>
      </c>
      <c r="K27" s="38">
        <v>5.8830000000000002E-3</v>
      </c>
      <c r="L27" s="38">
        <v>0.13919599999999999</v>
      </c>
      <c r="M27" s="38">
        <v>0.67280200000000001</v>
      </c>
      <c r="N27" s="38">
        <v>7.2523000000000004E-2</v>
      </c>
      <c r="O27" s="45">
        <v>-3.9289999999999999E-2</v>
      </c>
    </row>
    <row r="28" spans="2:17" x14ac:dyDescent="0.3">
      <c r="B28" s="36" t="s">
        <v>15</v>
      </c>
      <c r="C28" s="34">
        <v>0.46268900000000002</v>
      </c>
      <c r="D28" s="13">
        <v>1</v>
      </c>
      <c r="E28" s="13">
        <v>0.79149499999999995</v>
      </c>
      <c r="F28" s="13">
        <v>0.77065799999999995</v>
      </c>
      <c r="G28" s="13">
        <v>0.50735600000000003</v>
      </c>
      <c r="H28" s="13">
        <v>0.60417299999999996</v>
      </c>
      <c r="I28" s="13">
        <v>0.46720600000000001</v>
      </c>
      <c r="J28" s="13">
        <v>0.100355</v>
      </c>
      <c r="K28" s="13">
        <v>0.10730000000000001</v>
      </c>
      <c r="L28" s="13">
        <v>-5.1000000000000004E-4</v>
      </c>
      <c r="M28" s="13">
        <v>0.28680699999999998</v>
      </c>
      <c r="N28" s="13">
        <v>0.48788999999999999</v>
      </c>
      <c r="O28" s="29">
        <v>-6.6549999999999998E-2</v>
      </c>
    </row>
    <row r="29" spans="2:17" x14ac:dyDescent="0.3">
      <c r="B29" s="36" t="s">
        <v>17</v>
      </c>
      <c r="C29" s="34">
        <v>0.52839599999999998</v>
      </c>
      <c r="D29" s="13">
        <v>0.79149499999999995</v>
      </c>
      <c r="E29" s="13">
        <v>1</v>
      </c>
      <c r="F29" s="13">
        <v>0.664269</v>
      </c>
      <c r="G29" s="13">
        <v>0.52513299999999996</v>
      </c>
      <c r="H29" s="13">
        <v>0.60655199999999998</v>
      </c>
      <c r="I29" s="13">
        <v>0.34372999999999998</v>
      </c>
      <c r="J29" s="13">
        <v>0.16427700000000001</v>
      </c>
      <c r="K29" s="13">
        <v>4.7697000000000003E-2</v>
      </c>
      <c r="L29" s="13">
        <v>-5.806E-2</v>
      </c>
      <c r="M29" s="13">
        <v>0.37597599999999998</v>
      </c>
      <c r="N29" s="13">
        <v>0.34953800000000002</v>
      </c>
      <c r="O29" s="29">
        <v>-3.6069999999999998E-2</v>
      </c>
    </row>
    <row r="30" spans="2:17" x14ac:dyDescent="0.3">
      <c r="B30" s="36" t="s">
        <v>19</v>
      </c>
      <c r="C30" s="34">
        <v>0.58221699999999998</v>
      </c>
      <c r="D30" s="13">
        <v>0.77065799999999995</v>
      </c>
      <c r="E30" s="13">
        <v>0.664269</v>
      </c>
      <c r="F30" s="13">
        <v>1</v>
      </c>
      <c r="G30" s="13">
        <v>0.61929000000000001</v>
      </c>
      <c r="H30" s="13">
        <v>0.62721300000000002</v>
      </c>
      <c r="I30" s="13">
        <v>0.299626</v>
      </c>
      <c r="J30" s="13">
        <v>0.13957900000000001</v>
      </c>
      <c r="K30" s="13">
        <v>6.8987999999999994E-2</v>
      </c>
      <c r="L30" s="13">
        <v>1.7149999999999999E-3</v>
      </c>
      <c r="M30" s="13">
        <v>0.42957000000000001</v>
      </c>
      <c r="N30" s="13">
        <v>0.36484899999999998</v>
      </c>
      <c r="O30" s="29">
        <v>-5.919E-2</v>
      </c>
    </row>
    <row r="31" spans="2:17" x14ac:dyDescent="0.3">
      <c r="B31" s="36" t="s">
        <v>21</v>
      </c>
      <c r="C31" s="34">
        <v>0.59844600000000003</v>
      </c>
      <c r="D31" s="13">
        <v>0.50735600000000003</v>
      </c>
      <c r="E31" s="13">
        <v>0.52513299999999996</v>
      </c>
      <c r="F31" s="13">
        <v>0.61929000000000001</v>
      </c>
      <c r="G31" s="13">
        <v>1</v>
      </c>
      <c r="H31" s="13">
        <v>0.48537599999999997</v>
      </c>
      <c r="I31" s="13">
        <v>7.9337000000000005E-2</v>
      </c>
      <c r="J31" s="13">
        <v>8.2087999999999994E-2</v>
      </c>
      <c r="K31" s="13">
        <v>-2.811E-2</v>
      </c>
      <c r="L31" s="13">
        <v>-1.5520000000000001E-2</v>
      </c>
      <c r="M31" s="13">
        <v>0.59831999999999996</v>
      </c>
      <c r="N31" s="13">
        <v>0.32464100000000001</v>
      </c>
      <c r="O31" s="29">
        <v>-2.681E-2</v>
      </c>
    </row>
    <row r="32" spans="2:17" x14ac:dyDescent="0.3">
      <c r="B32" s="36" t="s">
        <v>14</v>
      </c>
      <c r="C32" s="34">
        <v>0.56000799999999995</v>
      </c>
      <c r="D32" s="13">
        <v>0.60417299999999996</v>
      </c>
      <c r="E32" s="13">
        <v>0.60655199999999998</v>
      </c>
      <c r="F32" s="13">
        <v>0.62721300000000002</v>
      </c>
      <c r="G32" s="13">
        <v>0.48537599999999997</v>
      </c>
      <c r="H32" s="13">
        <v>1</v>
      </c>
      <c r="I32" s="13">
        <v>0.20561199999999999</v>
      </c>
      <c r="J32" s="13">
        <v>6.5917000000000003E-2</v>
      </c>
      <c r="K32" s="13">
        <v>0.230711</v>
      </c>
      <c r="L32" s="13">
        <v>0.23639499999999999</v>
      </c>
      <c r="M32" s="13">
        <v>0.47003600000000001</v>
      </c>
      <c r="N32" s="13">
        <v>0.41226800000000002</v>
      </c>
      <c r="O32" s="29">
        <v>2.356E-3</v>
      </c>
    </row>
    <row r="33" spans="2:15" x14ac:dyDescent="0.3">
      <c r="B33" s="36" t="s">
        <v>16</v>
      </c>
      <c r="C33" s="34">
        <v>-0.16219</v>
      </c>
      <c r="D33" s="13">
        <v>0.46720600000000001</v>
      </c>
      <c r="E33" s="13">
        <v>0.34372999999999998</v>
      </c>
      <c r="F33" s="13">
        <v>0.299626</v>
      </c>
      <c r="G33" s="13">
        <v>7.9337000000000005E-2</v>
      </c>
      <c r="H33" s="13">
        <v>0.20561199999999999</v>
      </c>
      <c r="I33" s="13">
        <v>1</v>
      </c>
      <c r="J33" s="13">
        <v>0.18801399999999999</v>
      </c>
      <c r="K33" s="13">
        <v>0.15270600000000001</v>
      </c>
      <c r="L33" s="13">
        <v>-0.11461</v>
      </c>
      <c r="M33" s="13">
        <v>-0.30198000000000003</v>
      </c>
      <c r="N33" s="13">
        <v>0.64590999999999998</v>
      </c>
      <c r="O33" s="29">
        <v>5.0603000000000002E-2</v>
      </c>
    </row>
    <row r="34" spans="2:15" x14ac:dyDescent="0.3">
      <c r="B34" s="36" t="s">
        <v>18</v>
      </c>
      <c r="C34" s="34">
        <v>0.123853</v>
      </c>
      <c r="D34" s="13">
        <v>0.100355</v>
      </c>
      <c r="E34" s="13">
        <v>0.16427700000000001</v>
      </c>
      <c r="F34" s="13">
        <v>0.13957900000000001</v>
      </c>
      <c r="G34" s="13">
        <v>8.2087999999999994E-2</v>
      </c>
      <c r="H34" s="13">
        <v>6.5917000000000003E-2</v>
      </c>
      <c r="I34" s="13">
        <v>0.18801399999999999</v>
      </c>
      <c r="J34" s="13">
        <v>1</v>
      </c>
      <c r="K34" s="13">
        <v>-0.12670999999999999</v>
      </c>
      <c r="L34" s="13">
        <v>-0.19519</v>
      </c>
      <c r="M34" s="13">
        <v>8.7570999999999996E-2</v>
      </c>
      <c r="N34" s="13">
        <v>3.8482000000000002E-2</v>
      </c>
      <c r="O34" s="29">
        <v>1.1105E-2</v>
      </c>
    </row>
    <row r="35" spans="2:15" x14ac:dyDescent="0.3">
      <c r="B35" s="36" t="s">
        <v>22</v>
      </c>
      <c r="C35" s="34">
        <v>5.8830000000000002E-3</v>
      </c>
      <c r="D35" s="13">
        <v>0.10730000000000001</v>
      </c>
      <c r="E35" s="13">
        <v>4.7697000000000003E-2</v>
      </c>
      <c r="F35" s="13">
        <v>6.8987999999999994E-2</v>
      </c>
      <c r="G35" s="13">
        <v>-2.811E-2</v>
      </c>
      <c r="H35" s="13">
        <v>0.230711</v>
      </c>
      <c r="I35" s="13">
        <v>0.15270600000000001</v>
      </c>
      <c r="J35" s="13">
        <v>-0.12670999999999999</v>
      </c>
      <c r="K35" s="13">
        <v>1</v>
      </c>
      <c r="L35" s="13">
        <v>0.70652499999999996</v>
      </c>
      <c r="M35" s="13">
        <v>7.9466999999999996E-2</v>
      </c>
      <c r="N35" s="13">
        <v>0.44623800000000002</v>
      </c>
      <c r="O35" s="29">
        <v>0.23028799999999999</v>
      </c>
    </row>
    <row r="36" spans="2:15" x14ac:dyDescent="0.3">
      <c r="B36" s="36" t="s">
        <v>23</v>
      </c>
      <c r="C36" s="34">
        <v>0.13919599999999999</v>
      </c>
      <c r="D36" s="13">
        <v>-5.1000000000000004E-4</v>
      </c>
      <c r="E36" s="13">
        <v>-5.806E-2</v>
      </c>
      <c r="F36" s="13">
        <v>1.7149999999999999E-3</v>
      </c>
      <c r="G36" s="13">
        <v>-0.1552</v>
      </c>
      <c r="H36" s="13">
        <v>0.23639499999999999</v>
      </c>
      <c r="I36" s="13">
        <v>-0.11461</v>
      </c>
      <c r="J36" s="13">
        <v>-0.19519</v>
      </c>
      <c r="K36" s="13">
        <v>0.70652499999999996</v>
      </c>
      <c r="L36" s="13">
        <v>1</v>
      </c>
      <c r="M36" s="13">
        <v>0.28224500000000002</v>
      </c>
      <c r="N36" s="13">
        <v>0.24412400000000001</v>
      </c>
      <c r="O36" s="29">
        <v>0.22785</v>
      </c>
    </row>
    <row r="37" spans="2:15" x14ac:dyDescent="0.3">
      <c r="B37" s="36" t="s">
        <v>24</v>
      </c>
      <c r="C37" s="34">
        <v>0.67280200000000001</v>
      </c>
      <c r="D37" s="13">
        <v>0.28680699999999998</v>
      </c>
      <c r="E37" s="13">
        <v>0.37597599999999998</v>
      </c>
      <c r="F37" s="13">
        <v>0.42957000000000001</v>
      </c>
      <c r="G37" s="13">
        <v>0.59831999999999996</v>
      </c>
      <c r="H37" s="13">
        <v>0.47003600000000001</v>
      </c>
      <c r="I37" s="13">
        <v>-0.30198000000000003</v>
      </c>
      <c r="J37" s="13">
        <v>8.7570999999999996E-2</v>
      </c>
      <c r="K37" s="13">
        <v>7.9466999999999996E-2</v>
      </c>
      <c r="L37" s="13">
        <v>0.28224500000000002</v>
      </c>
      <c r="M37" s="13">
        <v>1</v>
      </c>
      <c r="N37" s="13">
        <v>0.17721300000000001</v>
      </c>
      <c r="O37" s="29">
        <v>2.4840000000000001E-2</v>
      </c>
    </row>
    <row r="38" spans="2:15" x14ac:dyDescent="0.3">
      <c r="B38" s="36" t="s">
        <v>25</v>
      </c>
      <c r="C38" s="34">
        <v>7.2523000000000004E-2</v>
      </c>
      <c r="D38" s="13">
        <v>0.48788999999999999</v>
      </c>
      <c r="E38" s="13">
        <v>0.34953800000000002</v>
      </c>
      <c r="F38" s="13">
        <v>0.36484899999999998</v>
      </c>
      <c r="G38" s="13">
        <v>0.32464100000000001</v>
      </c>
      <c r="H38" s="13">
        <v>0.41226800000000002</v>
      </c>
      <c r="I38" s="13">
        <v>0.64590999999999998</v>
      </c>
      <c r="J38" s="13">
        <v>3.8482000000000002E-2</v>
      </c>
      <c r="K38" s="13">
        <v>0.44623800000000002</v>
      </c>
      <c r="L38" s="13">
        <v>0.24412400000000001</v>
      </c>
      <c r="M38" s="13">
        <v>0.17721300000000001</v>
      </c>
      <c r="N38" s="13">
        <v>1</v>
      </c>
      <c r="O38" s="29">
        <v>0.115046</v>
      </c>
    </row>
    <row r="39" spans="2:15" x14ac:dyDescent="0.3">
      <c r="B39" s="36" t="s">
        <v>55</v>
      </c>
      <c r="C39" s="35">
        <v>-3.9289999999999999E-2</v>
      </c>
      <c r="D39" s="30">
        <v>-6.6549999999999998E-2</v>
      </c>
      <c r="E39" s="30">
        <v>-3.6069999999999998E-2</v>
      </c>
      <c r="F39" s="30">
        <v>-5.919E-2</v>
      </c>
      <c r="G39" s="30">
        <v>-2.681E-2</v>
      </c>
      <c r="H39" s="30">
        <v>2.356E-3</v>
      </c>
      <c r="I39" s="30">
        <v>5.0603000000000002E-2</v>
      </c>
      <c r="J39" s="30">
        <v>1.1105E-2</v>
      </c>
      <c r="K39" s="30">
        <v>0.23028799999999999</v>
      </c>
      <c r="L39" s="30">
        <v>0.22785</v>
      </c>
      <c r="M39" s="30">
        <v>2.4840000000000001E-2</v>
      </c>
      <c r="N39" s="30">
        <v>0.115046</v>
      </c>
      <c r="O39" s="31">
        <v>1</v>
      </c>
    </row>
    <row r="40" spans="2:15" x14ac:dyDescent="0.3">
      <c r="B40" s="14" t="s">
        <v>27</v>
      </c>
      <c r="C40" s="6"/>
      <c r="K40" s="5"/>
      <c r="L40" s="5"/>
    </row>
    <row r="41" spans="2:15" x14ac:dyDescent="0.3">
      <c r="B41" s="14" t="s">
        <v>28</v>
      </c>
      <c r="C41" s="6"/>
      <c r="K41" s="5"/>
      <c r="L41" s="5"/>
    </row>
    <row r="42" spans="2:15" x14ac:dyDescent="0.3">
      <c r="B42" s="14" t="s">
        <v>29</v>
      </c>
      <c r="C42" s="6"/>
      <c r="K42" s="5"/>
      <c r="L42" s="5"/>
    </row>
    <row r="43" spans="2:15" x14ac:dyDescent="0.3">
      <c r="H43" s="6"/>
      <c r="I43" s="6"/>
      <c r="K43" s="5"/>
      <c r="L43" s="5"/>
    </row>
    <row r="44" spans="2:15" x14ac:dyDescent="0.3">
      <c r="K44" s="5"/>
      <c r="L44" s="5"/>
    </row>
    <row r="45" spans="2:15" x14ac:dyDescent="0.3">
      <c r="K45" s="5"/>
      <c r="L45" s="5"/>
    </row>
    <row r="46" spans="2:15" x14ac:dyDescent="0.3">
      <c r="K46" s="5"/>
      <c r="L46" s="5"/>
    </row>
  </sheetData>
  <mergeCells count="26">
    <mergeCell ref="C25:C26"/>
    <mergeCell ref="D25:D26"/>
    <mergeCell ref="E25:E26"/>
    <mergeCell ref="F25:F26"/>
    <mergeCell ref="G25:G26"/>
    <mergeCell ref="N25:N26"/>
    <mergeCell ref="O25:O26"/>
    <mergeCell ref="P25:P26"/>
    <mergeCell ref="Q25:Q26"/>
    <mergeCell ref="H25:H26"/>
    <mergeCell ref="I25:I26"/>
    <mergeCell ref="J25:J26"/>
    <mergeCell ref="K25:K26"/>
    <mergeCell ref="L25:L26"/>
    <mergeCell ref="M25:M26"/>
    <mergeCell ref="Q4:S4"/>
    <mergeCell ref="B9:B10"/>
    <mergeCell ref="F9:F10"/>
    <mergeCell ref="G9:G10"/>
    <mergeCell ref="H9:H10"/>
    <mergeCell ref="I9:I10"/>
    <mergeCell ref="M4:O4"/>
    <mergeCell ref="E9:E10"/>
    <mergeCell ref="D9:D10"/>
    <mergeCell ref="J9:K9"/>
    <mergeCell ref="C9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B121-ADEE-4261-BDC5-D25F0E0D0898}">
  <dimension ref="B2:G17"/>
  <sheetViews>
    <sheetView workbookViewId="0">
      <selection activeCell="B3" sqref="B3"/>
    </sheetView>
  </sheetViews>
  <sheetFormatPr defaultColWidth="9.1796875" defaultRowHeight="13" x14ac:dyDescent="0.3"/>
  <cols>
    <col min="1" max="1" width="4.453125" style="5" customWidth="1"/>
    <col min="2" max="2" width="27.1796875" style="5" customWidth="1"/>
    <col min="3" max="3" width="17.453125" style="5" customWidth="1"/>
    <col min="4" max="4" width="14.54296875" style="5" customWidth="1"/>
    <col min="5" max="5" width="20.1796875" style="5" customWidth="1"/>
    <col min="6" max="8" width="15.1796875" style="5" customWidth="1"/>
    <col min="9" max="9" width="9.1796875" style="5"/>
    <col min="10" max="11" width="14" style="5" customWidth="1"/>
    <col min="12" max="16384" width="9.1796875" style="5"/>
  </cols>
  <sheetData>
    <row r="2" spans="2:7" x14ac:dyDescent="0.3">
      <c r="B2" s="36" t="s">
        <v>66</v>
      </c>
      <c r="C2" s="59"/>
      <c r="D2" s="32"/>
      <c r="F2" s="48"/>
      <c r="G2" s="52"/>
    </row>
    <row r="3" spans="2:7" x14ac:dyDescent="0.3">
      <c r="B3" s="36" t="s">
        <v>30</v>
      </c>
      <c r="C3" s="56">
        <f ca="1">TODAY()</f>
        <v>46038</v>
      </c>
      <c r="D3" s="32"/>
    </row>
    <row r="4" spans="2:7" x14ac:dyDescent="0.3">
      <c r="B4" s="36" t="s">
        <v>31</v>
      </c>
      <c r="C4" s="57">
        <v>100000</v>
      </c>
      <c r="D4" s="32"/>
    </row>
    <row r="5" spans="2:7" x14ac:dyDescent="0.3">
      <c r="B5" s="36" t="s">
        <v>53</v>
      </c>
      <c r="C5" s="54">
        <v>2.5999999999999999E-2</v>
      </c>
      <c r="D5" s="47"/>
    </row>
    <row r="6" spans="2:7" x14ac:dyDescent="0.3">
      <c r="B6" s="36" t="s">
        <v>54</v>
      </c>
      <c r="C6" s="55">
        <v>0.01</v>
      </c>
      <c r="D6" s="32"/>
    </row>
    <row r="7" spans="2:7" x14ac:dyDescent="0.3">
      <c r="C7" s="32"/>
      <c r="D7" s="32"/>
    </row>
    <row r="8" spans="2:7" x14ac:dyDescent="0.3">
      <c r="B8" s="48" t="s">
        <v>32</v>
      </c>
      <c r="C8" s="9"/>
      <c r="D8" s="9"/>
    </row>
    <row r="9" spans="2:7" x14ac:dyDescent="0.3">
      <c r="B9" s="9"/>
      <c r="C9" s="28" t="s">
        <v>33</v>
      </c>
      <c r="D9" s="28" t="s">
        <v>34</v>
      </c>
    </row>
    <row r="10" spans="2:7" x14ac:dyDescent="0.3">
      <c r="B10" s="36" t="s">
        <v>0</v>
      </c>
      <c r="C10" s="62">
        <v>1000000</v>
      </c>
      <c r="D10" s="61">
        <v>0.5</v>
      </c>
    </row>
    <row r="11" spans="2:7" x14ac:dyDescent="0.3">
      <c r="B11" s="36" t="s">
        <v>1</v>
      </c>
      <c r="C11" s="63">
        <v>1000000</v>
      </c>
      <c r="D11" s="58">
        <v>0.5</v>
      </c>
    </row>
    <row r="12" spans="2:7" x14ac:dyDescent="0.3">
      <c r="B12" s="36" t="s">
        <v>2</v>
      </c>
      <c r="C12" s="49"/>
      <c r="D12" s="46"/>
    </row>
    <row r="13" spans="2:7" x14ac:dyDescent="0.3">
      <c r="B13" s="36" t="s">
        <v>3</v>
      </c>
      <c r="C13" s="64"/>
      <c r="D13" s="46"/>
    </row>
    <row r="14" spans="2:7" x14ac:dyDescent="0.3">
      <c r="B14" s="36" t="s">
        <v>4</v>
      </c>
      <c r="C14" s="65"/>
      <c r="D14" s="60"/>
    </row>
    <row r="15" spans="2:7" x14ac:dyDescent="0.3">
      <c r="B15" s="36" t="s">
        <v>67</v>
      </c>
      <c r="C15" s="66"/>
      <c r="D15" s="67"/>
    </row>
    <row r="16" spans="2:7" x14ac:dyDescent="0.3">
      <c r="B16" s="50" t="s">
        <v>35</v>
      </c>
      <c r="C16" s="68">
        <f>SUM(C10:C15)</f>
        <v>2000000</v>
      </c>
      <c r="D16" s="69">
        <f>SUM(D10:D15)</f>
        <v>1</v>
      </c>
    </row>
    <row r="17" spans="2:4" x14ac:dyDescent="0.3">
      <c r="B17" s="32"/>
      <c r="C17" s="32"/>
      <c r="D17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0890-89E8-40BA-B6E0-D40CE2AF7B7B}">
  <dimension ref="A1"/>
  <sheetViews>
    <sheetView workbookViewId="0">
      <selection activeCell="B4" sqref="B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7BA1-9F41-4941-9D55-FCDB98A609E7}">
  <dimension ref="B2:K34"/>
  <sheetViews>
    <sheetView workbookViewId="0">
      <selection activeCell="D37" sqref="D37"/>
    </sheetView>
  </sheetViews>
  <sheetFormatPr defaultColWidth="9.1796875" defaultRowHeight="13" x14ac:dyDescent="0.3"/>
  <cols>
    <col min="1" max="1" width="4.453125" style="5" customWidth="1"/>
    <col min="2" max="2" width="26" style="5" customWidth="1"/>
    <col min="3" max="3" width="13" style="5" customWidth="1"/>
    <col min="4" max="4" width="14.453125" style="5" customWidth="1"/>
    <col min="5" max="5" width="15.1796875" style="5" customWidth="1"/>
    <col min="6" max="6" width="14.54296875" style="5" customWidth="1"/>
    <col min="7" max="7" width="7.453125" style="5" customWidth="1"/>
    <col min="8" max="8" width="9.81640625" style="5" customWidth="1"/>
    <col min="9" max="9" width="16.453125" style="5" customWidth="1"/>
    <col min="10" max="10" width="16" style="5" bestFit="1" customWidth="1"/>
    <col min="11" max="11" width="12.81640625" style="5" customWidth="1"/>
    <col min="12" max="16384" width="9.1796875" style="5"/>
  </cols>
  <sheetData>
    <row r="2" spans="2:10" x14ac:dyDescent="0.3">
      <c r="B2" s="9" t="s">
        <v>68</v>
      </c>
      <c r="C2" s="9"/>
      <c r="D2" s="9"/>
    </row>
    <row r="3" spans="2:10" x14ac:dyDescent="0.3">
      <c r="B3" s="32"/>
      <c r="C3" s="72"/>
      <c r="D3" s="4"/>
      <c r="H3" s="113" t="s">
        <v>38</v>
      </c>
      <c r="I3" s="114"/>
      <c r="J3" s="115"/>
    </row>
    <row r="4" spans="2:10" x14ac:dyDescent="0.3">
      <c r="B4" s="32"/>
      <c r="C4" s="73"/>
      <c r="D4" s="4"/>
      <c r="H4" s="24"/>
      <c r="I4" s="36" t="s">
        <v>6</v>
      </c>
      <c r="J4" s="36" t="s">
        <v>7</v>
      </c>
    </row>
    <row r="5" spans="2:10" x14ac:dyDescent="0.3">
      <c r="H5" s="39">
        <v>1</v>
      </c>
      <c r="I5" s="53"/>
      <c r="J5" s="53"/>
    </row>
    <row r="6" spans="2:10" x14ac:dyDescent="0.3">
      <c r="F6" s="74"/>
      <c r="H6" s="39">
        <v>2</v>
      </c>
      <c r="I6" s="53"/>
      <c r="J6" s="53"/>
    </row>
    <row r="7" spans="2:10" x14ac:dyDescent="0.3">
      <c r="F7" s="4"/>
      <c r="H7" s="39">
        <v>3</v>
      </c>
      <c r="I7" s="53"/>
      <c r="J7" s="53"/>
    </row>
    <row r="8" spans="2:10" x14ac:dyDescent="0.3">
      <c r="F8" s="75"/>
      <c r="H8" s="39">
        <v>4</v>
      </c>
      <c r="I8" s="53"/>
      <c r="J8" s="53"/>
    </row>
    <row r="9" spans="2:10" x14ac:dyDescent="0.3">
      <c r="F9" s="75"/>
      <c r="H9" s="39">
        <v>5</v>
      </c>
      <c r="I9" s="53"/>
      <c r="J9" s="53"/>
    </row>
    <row r="10" spans="2:10" x14ac:dyDescent="0.3">
      <c r="F10" s="75"/>
      <c r="H10" s="39">
        <v>6</v>
      </c>
      <c r="I10" s="53"/>
      <c r="J10" s="53"/>
    </row>
    <row r="11" spans="2:10" x14ac:dyDescent="0.3">
      <c r="F11" s="75"/>
      <c r="H11" s="39">
        <v>7</v>
      </c>
      <c r="I11" s="53"/>
      <c r="J11" s="53"/>
    </row>
    <row r="12" spans="2:10" x14ac:dyDescent="0.3">
      <c r="F12" s="75"/>
      <c r="H12" s="39">
        <v>8</v>
      </c>
      <c r="I12" s="53"/>
      <c r="J12" s="53"/>
    </row>
    <row r="13" spans="2:10" x14ac:dyDescent="0.3">
      <c r="F13" s="75"/>
      <c r="H13" s="39">
        <v>9</v>
      </c>
      <c r="I13" s="53"/>
      <c r="J13" s="53"/>
    </row>
    <row r="14" spans="2:10" x14ac:dyDescent="0.3">
      <c r="F14" s="75"/>
      <c r="H14" s="70">
        <v>10</v>
      </c>
      <c r="I14" s="53"/>
      <c r="J14" s="53"/>
    </row>
    <row r="15" spans="2:10" x14ac:dyDescent="0.3">
      <c r="F15" s="75"/>
    </row>
    <row r="16" spans="2:10" x14ac:dyDescent="0.3">
      <c r="F16" s="75"/>
    </row>
    <row r="17" spans="2:11" x14ac:dyDescent="0.3">
      <c r="F17" s="75"/>
    </row>
    <row r="19" spans="2:11" x14ac:dyDescent="0.3">
      <c r="C19" s="32"/>
      <c r="D19" s="76"/>
      <c r="E19" s="76"/>
      <c r="F19" s="76"/>
      <c r="G19" s="76"/>
    </row>
    <row r="20" spans="2:11" x14ac:dyDescent="0.3">
      <c r="B20" s="36"/>
      <c r="C20" s="36" t="s">
        <v>69</v>
      </c>
      <c r="D20" s="36" t="s">
        <v>70</v>
      </c>
      <c r="E20" s="36" t="s">
        <v>71</v>
      </c>
      <c r="F20" s="36" t="s">
        <v>39</v>
      </c>
      <c r="H20" s="111" t="s">
        <v>72</v>
      </c>
      <c r="I20" s="116"/>
      <c r="J20" s="116"/>
      <c r="K20" s="112"/>
    </row>
    <row r="21" spans="2:11" x14ac:dyDescent="0.3">
      <c r="B21" s="36" t="s">
        <v>13</v>
      </c>
      <c r="C21" s="53"/>
      <c r="D21" s="53"/>
      <c r="E21" s="71"/>
      <c r="F21" s="53"/>
      <c r="H21" s="10"/>
      <c r="I21" s="113" t="s">
        <v>7</v>
      </c>
      <c r="J21" s="114"/>
      <c r="K21" s="115"/>
    </row>
    <row r="22" spans="2:11" x14ac:dyDescent="0.3">
      <c r="B22" s="36" t="s">
        <v>15</v>
      </c>
      <c r="C22" s="53"/>
      <c r="D22" s="53"/>
      <c r="E22" s="71"/>
      <c r="F22" s="53"/>
      <c r="H22" s="10"/>
      <c r="I22" s="28">
        <v>95</v>
      </c>
      <c r="J22" s="28">
        <v>50</v>
      </c>
      <c r="K22" s="28">
        <v>5</v>
      </c>
    </row>
    <row r="23" spans="2:11" x14ac:dyDescent="0.3">
      <c r="B23" s="36" t="s">
        <v>17</v>
      </c>
      <c r="C23" s="53"/>
      <c r="D23" s="53"/>
      <c r="E23" s="71"/>
      <c r="F23" s="53"/>
      <c r="H23" s="10" t="s">
        <v>40</v>
      </c>
      <c r="I23" s="36"/>
      <c r="J23" s="36"/>
      <c r="K23" s="36"/>
    </row>
    <row r="24" spans="2:11" x14ac:dyDescent="0.3">
      <c r="B24" s="36" t="s">
        <v>19</v>
      </c>
      <c r="C24" s="53"/>
      <c r="D24" s="53"/>
      <c r="E24" s="71"/>
      <c r="F24" s="53"/>
      <c r="H24" s="10" t="s">
        <v>41</v>
      </c>
      <c r="I24" s="36"/>
      <c r="J24" s="36"/>
      <c r="K24" s="36"/>
    </row>
    <row r="25" spans="2:11" x14ac:dyDescent="0.3">
      <c r="B25" s="36" t="s">
        <v>21</v>
      </c>
      <c r="C25" s="53"/>
      <c r="D25" s="53"/>
      <c r="E25" s="71"/>
      <c r="F25" s="53"/>
      <c r="H25" s="10" t="s">
        <v>42</v>
      </c>
      <c r="I25" s="36"/>
      <c r="J25" s="36"/>
      <c r="K25" s="36"/>
    </row>
    <row r="26" spans="2:11" x14ac:dyDescent="0.3">
      <c r="B26" s="36" t="s">
        <v>14</v>
      </c>
      <c r="C26" s="53"/>
      <c r="D26" s="53"/>
      <c r="E26" s="71"/>
      <c r="F26" s="53"/>
      <c r="H26" s="10" t="s">
        <v>43</v>
      </c>
      <c r="I26" s="36"/>
      <c r="J26" s="36"/>
      <c r="K26" s="36"/>
    </row>
    <row r="27" spans="2:11" x14ac:dyDescent="0.3">
      <c r="B27" s="36" t="s">
        <v>16</v>
      </c>
      <c r="C27" s="53"/>
      <c r="D27" s="53"/>
      <c r="E27" s="71"/>
      <c r="F27" s="53"/>
      <c r="H27" s="11" t="s">
        <v>44</v>
      </c>
      <c r="I27" s="36"/>
      <c r="J27" s="36"/>
      <c r="K27" s="36"/>
    </row>
    <row r="28" spans="2:11" x14ac:dyDescent="0.3">
      <c r="B28" s="36" t="s">
        <v>18</v>
      </c>
      <c r="C28" s="53"/>
      <c r="D28" s="53"/>
      <c r="E28" s="71"/>
      <c r="F28" s="53"/>
    </row>
    <row r="29" spans="2:11" x14ac:dyDescent="0.3">
      <c r="B29" s="36" t="s">
        <v>22</v>
      </c>
      <c r="C29" s="53"/>
      <c r="D29" s="53"/>
      <c r="E29" s="71"/>
      <c r="F29" s="53"/>
    </row>
    <row r="30" spans="2:11" x14ac:dyDescent="0.3">
      <c r="B30" s="36" t="s">
        <v>23</v>
      </c>
      <c r="C30" s="53"/>
      <c r="D30" s="53"/>
      <c r="E30" s="71"/>
      <c r="F30" s="53"/>
    </row>
    <row r="31" spans="2:11" x14ac:dyDescent="0.3">
      <c r="B31" s="36" t="s">
        <v>24</v>
      </c>
      <c r="C31" s="53"/>
      <c r="D31" s="53"/>
      <c r="E31" s="71"/>
      <c r="F31" s="53"/>
    </row>
    <row r="32" spans="2:11" x14ac:dyDescent="0.3">
      <c r="B32" s="36" t="s">
        <v>25</v>
      </c>
      <c r="C32" s="53"/>
      <c r="D32" s="53"/>
      <c r="E32" s="71"/>
      <c r="F32" s="53"/>
    </row>
    <row r="33" spans="2:7" x14ac:dyDescent="0.3">
      <c r="B33" s="36" t="s">
        <v>55</v>
      </c>
      <c r="C33" s="53"/>
      <c r="D33" s="53"/>
      <c r="E33" s="71"/>
      <c r="F33" s="53"/>
    </row>
    <row r="34" spans="2:7" x14ac:dyDescent="0.3">
      <c r="B34" s="36" t="s">
        <v>73</v>
      </c>
      <c r="C34" s="36">
        <f>SUM(C21:C33)</f>
        <v>0</v>
      </c>
      <c r="D34" s="36">
        <f t="shared" ref="D34:F34" si="0">SUM(D21:D33)</f>
        <v>0</v>
      </c>
      <c r="E34" s="36">
        <f t="shared" si="0"/>
        <v>0</v>
      </c>
      <c r="F34" s="36">
        <f t="shared" si="0"/>
        <v>0</v>
      </c>
      <c r="G34" s="32"/>
    </row>
  </sheetData>
  <mergeCells count="3">
    <mergeCell ref="H3:J3"/>
    <mergeCell ref="I21:K21"/>
    <mergeCell ref="H20:K20"/>
  </mergeCells>
  <dataValidations disablePrompts="1" count="2">
    <dataValidation type="list" allowBlank="1" showInputMessage="1" showErrorMessage="1" sqref="C4" xr:uid="{796176F0-CB0F-40DD-A66F-3DEE6AF4B9B5}">
      <formula1>"Before Tax, After Tax"</formula1>
    </dataValidation>
    <dataValidation type="list" allowBlank="1" showInputMessage="1" showErrorMessage="1" sqref="C3" xr:uid="{C29DEF9A-FC6E-4CD2-8A19-C803523A9ECB}">
      <formula1>"10, 20, 30"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2708-45A8-4944-B3BF-DDAA2EE343B1}">
  <dimension ref="B2:P23"/>
  <sheetViews>
    <sheetView workbookViewId="0">
      <selection activeCell="E32" sqref="E32"/>
    </sheetView>
  </sheetViews>
  <sheetFormatPr defaultColWidth="9.1796875" defaultRowHeight="13" x14ac:dyDescent="0.3"/>
  <cols>
    <col min="1" max="1" width="4.453125" style="5" customWidth="1"/>
    <col min="2" max="3" width="20.81640625" style="5" customWidth="1"/>
    <col min="4" max="8" width="9.1796875" style="5"/>
    <col min="9" max="9" width="18.7265625" style="5" customWidth="1"/>
    <col min="10" max="11" width="7.81640625" style="5" customWidth="1"/>
    <col min="12" max="16384" width="9.1796875" style="5"/>
  </cols>
  <sheetData>
    <row r="2" spans="2:16" x14ac:dyDescent="0.3">
      <c r="B2" s="36" t="s">
        <v>45</v>
      </c>
      <c r="C2" s="80"/>
      <c r="D2" s="77"/>
      <c r="F2" s="5" t="s">
        <v>74</v>
      </c>
    </row>
    <row r="3" spans="2:16" x14ac:dyDescent="0.3">
      <c r="B3" s="36" t="s">
        <v>36</v>
      </c>
      <c r="C3" s="12" t="s">
        <v>37</v>
      </c>
      <c r="D3" s="77"/>
    </row>
    <row r="4" spans="2:16" x14ac:dyDescent="0.3">
      <c r="B4" s="36" t="s">
        <v>6</v>
      </c>
      <c r="C4" s="81"/>
    </row>
    <row r="5" spans="2:16" x14ac:dyDescent="0.3">
      <c r="B5" s="36" t="s">
        <v>7</v>
      </c>
      <c r="C5" s="81"/>
      <c r="D5" s="4"/>
      <c r="E5" s="4"/>
      <c r="F5" s="4"/>
      <c r="L5" s="9" t="s">
        <v>72</v>
      </c>
      <c r="M5" s="4"/>
      <c r="N5" s="4"/>
      <c r="O5" s="4"/>
      <c r="P5" s="4"/>
    </row>
    <row r="8" spans="2:16" x14ac:dyDescent="0.3">
      <c r="B8" s="9" t="s">
        <v>76</v>
      </c>
    </row>
    <row r="17" spans="2:12" x14ac:dyDescent="0.3">
      <c r="F17" s="5" t="s">
        <v>75</v>
      </c>
    </row>
    <row r="23" spans="2:12" x14ac:dyDescent="0.3">
      <c r="B23" s="79"/>
      <c r="L23" s="79"/>
    </row>
  </sheetData>
  <dataValidations count="1">
    <dataValidation type="list" allowBlank="1" showInputMessage="1" showErrorMessage="1" sqref="C3" xr:uid="{97CC7A77-DB41-484E-BF11-BFB4A1B79E51}">
      <formula1>"Before Tax, After Tax"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1607-2DC7-4038-A20D-696AA95E7A74}">
  <dimension ref="A2:AH33"/>
  <sheetViews>
    <sheetView workbookViewId="0">
      <selection activeCell="E9" sqref="E9"/>
    </sheetView>
  </sheetViews>
  <sheetFormatPr defaultColWidth="9.1796875" defaultRowHeight="13" x14ac:dyDescent="0.3"/>
  <cols>
    <col min="1" max="1" width="4.453125" style="5" customWidth="1"/>
    <col min="2" max="2" width="24.453125" style="5" customWidth="1"/>
    <col min="3" max="3" width="15.1796875" style="5" customWidth="1"/>
    <col min="4" max="4" width="4" style="5" customWidth="1"/>
    <col min="5" max="34" width="11.81640625" style="5" customWidth="1"/>
    <col min="35" max="16384" width="9.1796875" style="5"/>
  </cols>
  <sheetData>
    <row r="2" spans="1:34" x14ac:dyDescent="0.3">
      <c r="B2" s="36" t="s">
        <v>45</v>
      </c>
      <c r="C2" s="92" t="s">
        <v>46</v>
      </c>
    </row>
    <row r="3" spans="1:34" x14ac:dyDescent="0.3">
      <c r="B3" s="78" t="s">
        <v>77</v>
      </c>
      <c r="C3" s="93" t="s">
        <v>47</v>
      </c>
    </row>
    <row r="4" spans="1:34" x14ac:dyDescent="0.3">
      <c r="B4" s="78" t="s">
        <v>78</v>
      </c>
      <c r="C4" s="93" t="s">
        <v>37</v>
      </c>
    </row>
    <row r="5" spans="1:34" s="32" customFormat="1" x14ac:dyDescent="0.3">
      <c r="E5" s="94">
        <v>46022</v>
      </c>
      <c r="F5" s="94">
        <v>46387</v>
      </c>
      <c r="G5" s="94">
        <v>46752</v>
      </c>
      <c r="H5" s="94">
        <v>47118</v>
      </c>
      <c r="I5" s="94">
        <v>47483</v>
      </c>
      <c r="J5" s="94">
        <v>47848</v>
      </c>
      <c r="K5" s="94">
        <v>48213</v>
      </c>
      <c r="L5" s="94">
        <v>48579</v>
      </c>
      <c r="M5" s="94">
        <v>48944</v>
      </c>
      <c r="N5" s="94">
        <v>49309</v>
      </c>
      <c r="O5" s="94">
        <v>49674</v>
      </c>
      <c r="P5" s="94">
        <v>50040</v>
      </c>
      <c r="Q5" s="94">
        <v>50405</v>
      </c>
      <c r="R5" s="94">
        <v>50770</v>
      </c>
      <c r="S5" s="94">
        <v>51135</v>
      </c>
      <c r="T5" s="94">
        <v>51501</v>
      </c>
      <c r="U5" s="94">
        <v>51866</v>
      </c>
      <c r="V5" s="94">
        <v>52231</v>
      </c>
      <c r="W5" s="94">
        <v>52596</v>
      </c>
      <c r="X5" s="94">
        <v>52962</v>
      </c>
      <c r="Y5" s="94">
        <v>53327</v>
      </c>
      <c r="Z5" s="94">
        <v>53692</v>
      </c>
      <c r="AA5" s="94">
        <v>54057</v>
      </c>
      <c r="AB5" s="94">
        <v>54423</v>
      </c>
      <c r="AC5" s="94">
        <v>54788</v>
      </c>
      <c r="AD5" s="94">
        <v>55153</v>
      </c>
      <c r="AE5" s="94">
        <v>55518</v>
      </c>
      <c r="AF5" s="94">
        <v>55884</v>
      </c>
      <c r="AG5" s="94">
        <v>56249</v>
      </c>
      <c r="AH5" s="94">
        <v>56614</v>
      </c>
    </row>
    <row r="6" spans="1:34" x14ac:dyDescent="0.3">
      <c r="E6" s="82">
        <v>2025</v>
      </c>
      <c r="F6" s="82">
        <v>2026</v>
      </c>
      <c r="G6" s="82">
        <v>2027</v>
      </c>
      <c r="H6" s="82">
        <v>2028</v>
      </c>
      <c r="I6" s="82">
        <v>2029</v>
      </c>
      <c r="J6" s="82">
        <v>2030</v>
      </c>
      <c r="K6" s="82">
        <v>2031</v>
      </c>
      <c r="L6" s="82">
        <v>2032</v>
      </c>
      <c r="M6" s="82">
        <v>2033</v>
      </c>
      <c r="N6" s="82">
        <v>2034</v>
      </c>
      <c r="O6" s="82">
        <v>2035</v>
      </c>
      <c r="P6" s="82">
        <v>2036</v>
      </c>
      <c r="Q6" s="82">
        <v>2037</v>
      </c>
      <c r="R6" s="82">
        <v>2038</v>
      </c>
      <c r="S6" s="82">
        <v>2039</v>
      </c>
      <c r="T6" s="82">
        <v>2040</v>
      </c>
      <c r="U6" s="82">
        <v>2041</v>
      </c>
      <c r="V6" s="82">
        <v>2042</v>
      </c>
      <c r="W6" s="82">
        <v>2043</v>
      </c>
      <c r="X6" s="82">
        <v>2044</v>
      </c>
      <c r="Y6" s="82">
        <v>2045</v>
      </c>
      <c r="Z6" s="82">
        <v>2046</v>
      </c>
      <c r="AA6" s="82">
        <v>2047</v>
      </c>
      <c r="AB6" s="82">
        <v>2048</v>
      </c>
      <c r="AC6" s="82">
        <v>2049</v>
      </c>
      <c r="AD6" s="82">
        <v>2050</v>
      </c>
      <c r="AE6" s="82">
        <v>2051</v>
      </c>
      <c r="AF6" s="82">
        <v>2052</v>
      </c>
      <c r="AG6" s="82">
        <v>2053</v>
      </c>
      <c r="AH6" s="82">
        <v>2054</v>
      </c>
    </row>
    <row r="7" spans="1:34" s="84" customFormat="1" x14ac:dyDescent="0.3">
      <c r="A7" s="5"/>
      <c r="B7" s="95" t="s">
        <v>69</v>
      </c>
    </row>
    <row r="9" spans="1:34" x14ac:dyDescent="0.3">
      <c r="B9" s="82" t="s">
        <v>79</v>
      </c>
      <c r="C9" s="85">
        <v>46022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</row>
    <row r="11" spans="1:34" x14ac:dyDescent="0.3">
      <c r="B11" s="82" t="s">
        <v>48</v>
      </c>
      <c r="C11" s="87" t="s">
        <v>49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</row>
    <row r="12" spans="1:34" x14ac:dyDescent="0.3">
      <c r="B12" s="82"/>
      <c r="C12" s="87" t="s">
        <v>50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</row>
    <row r="14" spans="1:34" x14ac:dyDescent="0.3">
      <c r="B14" s="82" t="s">
        <v>51</v>
      </c>
      <c r="C14" s="87" t="s">
        <v>49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spans="1:34" s="91" customFormat="1" x14ac:dyDescent="0.3">
      <c r="A15" s="5"/>
      <c r="B15" s="88"/>
      <c r="C15" s="89" t="s">
        <v>50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</row>
    <row r="16" spans="1:34" s="84" customFormat="1" x14ac:dyDescent="0.3">
      <c r="A16" s="5"/>
      <c r="B16" s="95" t="s">
        <v>52</v>
      </c>
    </row>
    <row r="18" spans="1:34" x14ac:dyDescent="0.3">
      <c r="B18" s="82" t="s">
        <v>80</v>
      </c>
      <c r="C18" s="85">
        <v>46022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20" spans="1:34" x14ac:dyDescent="0.3">
      <c r="B20" s="82" t="s">
        <v>48</v>
      </c>
      <c r="C20" s="87" t="s">
        <v>49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</row>
    <row r="21" spans="1:34" x14ac:dyDescent="0.3">
      <c r="B21" s="82"/>
      <c r="C21" s="87" t="s">
        <v>50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</row>
    <row r="23" spans="1:34" x14ac:dyDescent="0.3">
      <c r="B23" s="82" t="s">
        <v>51</v>
      </c>
      <c r="C23" s="87" t="s">
        <v>49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</row>
    <row r="24" spans="1:34" s="91" customFormat="1" x14ac:dyDescent="0.3">
      <c r="A24" s="5"/>
      <c r="B24" s="88"/>
      <c r="C24" s="89" t="s">
        <v>50</v>
      </c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</row>
    <row r="25" spans="1:34" s="84" customFormat="1" x14ac:dyDescent="0.3">
      <c r="A25" s="5"/>
      <c r="B25" s="83" t="s">
        <v>71</v>
      </c>
    </row>
    <row r="27" spans="1:34" x14ac:dyDescent="0.3">
      <c r="B27" s="82" t="s">
        <v>81</v>
      </c>
      <c r="C27" s="85">
        <v>46022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9" spans="1:34" x14ac:dyDescent="0.3">
      <c r="B29" s="82" t="s">
        <v>48</v>
      </c>
      <c r="C29" s="87" t="s">
        <v>49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spans="1:34" x14ac:dyDescent="0.3">
      <c r="B30" s="82"/>
      <c r="C30" s="87" t="s">
        <v>50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2" spans="1:34" x14ac:dyDescent="0.3">
      <c r="B32" s="82" t="s">
        <v>51</v>
      </c>
      <c r="C32" s="87" t="s">
        <v>49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</row>
    <row r="33" spans="1:34" s="91" customFormat="1" x14ac:dyDescent="0.3">
      <c r="A33" s="5"/>
      <c r="B33" s="88"/>
      <c r="C33" s="89" t="s">
        <v>50</v>
      </c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</row>
  </sheetData>
  <dataValidations count="2">
    <dataValidation type="list" allowBlank="1" showInputMessage="1" showErrorMessage="1" sqref="C4" xr:uid="{CFD8049A-C249-461C-8444-7F95DB675A8C}">
      <formula1>"Before Tax, After Tax"</formula1>
    </dataValidation>
    <dataValidation type="list" allowBlank="1" showInputMessage="1" showErrorMessage="1" sqref="C3" xr:uid="{D9318139-6B43-4086-AEAF-7AFCD3855995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6B55-1884-486B-B82E-5CA2918400AF}">
  <dimension ref="A1"/>
  <sheetViews>
    <sheetView workbookViewId="0">
      <selection activeCell="O24" sqref="O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Client Details</vt:lpstr>
      <vt:lpstr>Optimisation</vt:lpstr>
      <vt:lpstr>Output (Numerical)</vt:lpstr>
      <vt:lpstr>Output (Graphs)</vt:lpstr>
      <vt:lpstr>Cashflow (Projection)</vt:lpstr>
      <vt:lpstr>Cashflow (Graphs)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Korn</dc:creator>
  <cp:lastModifiedBy>Justin Lake</cp:lastModifiedBy>
  <dcterms:created xsi:type="dcterms:W3CDTF">2025-10-28T04:54:13Z</dcterms:created>
  <dcterms:modified xsi:type="dcterms:W3CDTF">2026-01-16T03:17:48Z</dcterms:modified>
</cp:coreProperties>
</file>