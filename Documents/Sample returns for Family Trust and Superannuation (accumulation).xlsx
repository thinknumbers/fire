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hink Numbers\FIRE Wealth\Documents\"/>
    </mc:Choice>
  </mc:AlternateContent>
  <xr:revisionPtr revIDLastSave="0" documentId="13_ncr:1_{05C5389B-7BED-41D7-8F6B-4927FE5646C6}" xr6:coauthVersionLast="47" xr6:coauthVersionMax="47" xr10:uidLastSave="{00000000-0000-0000-0000-000000000000}"/>
  <bookViews>
    <workbookView xWindow="19110" yWindow="0" windowWidth="19380" windowHeight="20970" xr2:uid="{23571A61-3AB6-4510-B80C-94D038009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O34" i="1"/>
  <c r="N34" i="1"/>
  <c r="M3" i="1"/>
  <c r="M4" i="1"/>
  <c r="M5" i="1"/>
  <c r="M6" i="1"/>
  <c r="M7" i="1"/>
  <c r="M8" i="1"/>
  <c r="M9" i="1"/>
  <c r="M10" i="1"/>
  <c r="M11" i="1"/>
  <c r="M12" i="1"/>
  <c r="M13" i="1"/>
  <c r="M14" i="1"/>
  <c r="G35" i="1" l="1"/>
  <c r="M35" i="1"/>
  <c r="M36" i="1"/>
  <c r="M37" i="1"/>
  <c r="M38" i="1"/>
  <c r="M39" i="1"/>
  <c r="M40" i="1"/>
  <c r="M41" i="1"/>
  <c r="M42" i="1"/>
  <c r="M43" i="1"/>
  <c r="M44" i="1"/>
  <c r="M45" i="1"/>
  <c r="M46" i="1"/>
  <c r="M34" i="1"/>
  <c r="F47" i="1"/>
  <c r="K46" i="1" l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D37" i="1"/>
  <c r="E37" i="1"/>
  <c r="F37" i="1"/>
  <c r="G37" i="1"/>
  <c r="H37" i="1"/>
  <c r="I37" i="1"/>
  <c r="J37" i="1"/>
  <c r="K37" i="1"/>
  <c r="C38" i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40" i="1"/>
  <c r="D40" i="1"/>
  <c r="E40" i="1"/>
  <c r="F40" i="1"/>
  <c r="G40" i="1"/>
  <c r="H40" i="1"/>
  <c r="I40" i="1"/>
  <c r="J40" i="1"/>
  <c r="K40" i="1"/>
  <c r="C41" i="1"/>
  <c r="D41" i="1"/>
  <c r="E41" i="1"/>
  <c r="F41" i="1"/>
  <c r="G41" i="1"/>
  <c r="H41" i="1"/>
  <c r="I41" i="1"/>
  <c r="J41" i="1"/>
  <c r="K41" i="1"/>
  <c r="C42" i="1"/>
  <c r="D42" i="1"/>
  <c r="E42" i="1"/>
  <c r="F42" i="1"/>
  <c r="G42" i="1"/>
  <c r="H42" i="1"/>
  <c r="I42" i="1"/>
  <c r="J42" i="1"/>
  <c r="K42" i="1"/>
  <c r="C43" i="1"/>
  <c r="D43" i="1"/>
  <c r="E43" i="1"/>
  <c r="F43" i="1"/>
  <c r="G43" i="1"/>
  <c r="H43" i="1"/>
  <c r="I43" i="1"/>
  <c r="J43" i="1"/>
  <c r="K43" i="1"/>
  <c r="C44" i="1"/>
  <c r="D44" i="1"/>
  <c r="E44" i="1"/>
  <c r="F44" i="1"/>
  <c r="G44" i="1"/>
  <c r="H44" i="1"/>
  <c r="I44" i="1"/>
  <c r="J44" i="1"/>
  <c r="K44" i="1"/>
  <c r="C45" i="1"/>
  <c r="D45" i="1"/>
  <c r="E45" i="1"/>
  <c r="F45" i="1"/>
  <c r="G45" i="1"/>
  <c r="H45" i="1"/>
  <c r="I45" i="1"/>
  <c r="J45" i="1"/>
  <c r="K45" i="1"/>
  <c r="C46" i="1"/>
  <c r="D46" i="1"/>
  <c r="E46" i="1"/>
  <c r="F46" i="1"/>
  <c r="G46" i="1"/>
  <c r="H46" i="1"/>
  <c r="I46" i="1"/>
  <c r="J46" i="1"/>
  <c r="B35" i="1"/>
  <c r="B36" i="1"/>
  <c r="B37" i="1"/>
  <c r="B38" i="1"/>
  <c r="B39" i="1"/>
  <c r="B40" i="1"/>
  <c r="B41" i="1"/>
  <c r="B42" i="1"/>
  <c r="B43" i="1"/>
  <c r="B44" i="1"/>
  <c r="B45" i="1"/>
  <c r="B46" i="1"/>
  <c r="B34" i="1"/>
</calcChain>
</file>

<file path=xl/sharedStrings.xml><?xml version="1.0" encoding="utf-8"?>
<sst xmlns="http://schemas.openxmlformats.org/spreadsheetml/2006/main" count="44" uniqueCount="18">
  <si>
    <t>Expected Return</t>
  </si>
  <si>
    <t>Australian Equities</t>
  </si>
  <si>
    <t>US Large Cap</t>
  </si>
  <si>
    <t>US Small Cap</t>
  </si>
  <si>
    <t>Developed World Equities</t>
  </si>
  <si>
    <t>Emerging Markets Equities</t>
  </si>
  <si>
    <t>Global REITS</t>
  </si>
  <si>
    <t>Hedge Fund</t>
  </si>
  <si>
    <t>Commodity</t>
  </si>
  <si>
    <t>Australian Bonds</t>
  </si>
  <si>
    <t>Global Bonds</t>
  </si>
  <si>
    <t>High Yield Bonds</t>
  </si>
  <si>
    <t>Emerging Markets Bonds</t>
  </si>
  <si>
    <t>Cash</t>
  </si>
  <si>
    <t>Super fund</t>
  </si>
  <si>
    <t>Family Trust</t>
  </si>
  <si>
    <t>Expected Risk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</si>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</sst>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64" fontId="0" fillId="0" borderId="3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4" xfId="0" applyNumberFormat="1" applyBorder="1"/>
    <xf numFmtId="0" fontId="1" fillId="0" borderId="0" xfId="0" applyFont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64" fontId="0" fillId="2" borderId="2" xfId="0" applyNumberFormat="1" applyFill="1" applyBorder="1"/>
    <xf numFmtId="0" fontId="0" fillId="2" borderId="0" xfId="0" applyFill="1"/>
    <xf numFmtId="164" fontId="0" fillId="2" borderId="0" xfId="0" applyNumberFormat="1" applyFill="1"/>
    <xf numFmtId="165" fontId="0" fillId="0" borderId="0" xfId="1" applyNumberFormat="1" applyFont="1"/>
    <xf numFmtId="165" fontId="1" fillId="0" borderId="0" xfId="1" applyNumberFormat="1" applyFont="1"/>
    <xf numFmtId="165" fontId="0" fillId="0" borderId="6" xfId="1" applyNumberFormat="1" applyFont="1" applyFill="1" applyBorder="1"/>
    <xf numFmtId="165" fontId="0" fillId="2" borderId="6" xfId="1" applyNumberFormat="1" applyFont="1" applyFill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B543-E138-4E62-8D7D-788ED9C87674}">
  <dimension ref="A1:O47"/>
  <sheetViews>
    <sheetView tabSelected="1" topLeftCell="A13" workbookViewId="0">
      <selection activeCell="M3" sqref="M3"/>
    </sheetView>
  </sheetViews>
  <sheetFormatPr defaultColWidth="9.1796875" defaultRowHeight="14.5" x14ac:dyDescent="0.35"/>
  <cols>
    <col min="1" max="1" width="24.81640625" bestFit="1" customWidth="1"/>
    <col min="2" max="5" width="9.1796875" customWidth="1"/>
    <col min="6" max="6" width="9.1796875" style="11"/>
    <col min="13" max="13" width="12.7265625" style="13" bestFit="1" customWidth="1"/>
  </cols>
  <sheetData>
    <row r="1" spans="1:13" x14ac:dyDescent="0.35">
      <c r="A1" s="2" t="s">
        <v>14</v>
      </c>
      <c r="B1" s="1">
        <v>1</v>
      </c>
      <c r="C1" s="1">
        <v>2</v>
      </c>
      <c r="D1" s="1">
        <v>3</v>
      </c>
      <c r="E1" s="1">
        <v>4</v>
      </c>
      <c r="F1" s="9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3" x14ac:dyDescent="0.35">
      <c r="A2" t="s">
        <v>1</v>
      </c>
      <c r="B2" s="3">
        <v>2.566981004038313E-3</v>
      </c>
      <c r="C2" s="3">
        <v>1.4031848098419879E-2</v>
      </c>
      <c r="D2" s="4">
        <v>2.8469661538956179E-2</v>
      </c>
      <c r="E2" s="4">
        <v>4.4908608311208888E-2</v>
      </c>
      <c r="F2" s="10">
        <v>6.3977384721954481E-2</v>
      </c>
      <c r="G2" s="4">
        <v>8.0768325830248677E-2</v>
      </c>
      <c r="H2" s="4">
        <v>9.6280844239960264E-2</v>
      </c>
      <c r="I2" s="5">
        <v>0.11100019720748028</v>
      </c>
      <c r="J2" s="6">
        <v>0.1185761208430418</v>
      </c>
      <c r="K2" s="6">
        <v>0.10242136433052025</v>
      </c>
      <c r="M2" s="17">
        <f>F2*2</f>
        <v>0.12795476944390896</v>
      </c>
    </row>
    <row r="3" spans="1:13" x14ac:dyDescent="0.35">
      <c r="A3" t="s">
        <v>2</v>
      </c>
      <c r="B3" s="4">
        <v>9.5600387004398757E-4</v>
      </c>
      <c r="C3" s="4">
        <v>7.4806794440625945E-3</v>
      </c>
      <c r="D3" s="4">
        <v>1.5350183964540343E-2</v>
      </c>
      <c r="E3" s="4">
        <v>2.4161241154199195E-2</v>
      </c>
      <c r="F3" s="10">
        <v>3.6823643147672711E-2</v>
      </c>
      <c r="G3" s="4">
        <v>5.1546158054886763E-2</v>
      </c>
      <c r="H3" s="4">
        <v>6.6819902275425697E-2</v>
      </c>
      <c r="I3" s="5">
        <v>8.1853171480321285E-2</v>
      </c>
      <c r="J3" s="5">
        <v>9.0574628793318859E-2</v>
      </c>
      <c r="K3" s="5">
        <v>8.8018723008028932E-2</v>
      </c>
      <c r="M3" s="17">
        <f t="shared" ref="M3:M14" si="0">F3*2</f>
        <v>7.3647286295345421E-2</v>
      </c>
    </row>
    <row r="4" spans="1:13" x14ac:dyDescent="0.35">
      <c r="A4" t="s">
        <v>3</v>
      </c>
      <c r="B4" s="4">
        <v>2.4792762087918731E-4</v>
      </c>
      <c r="C4" s="4">
        <v>4.8348076772927922E-3</v>
      </c>
      <c r="D4" s="4">
        <v>8.9312583617801502E-3</v>
      </c>
      <c r="E4" s="4">
        <v>1.4836617800542325E-2</v>
      </c>
      <c r="F4" s="10">
        <v>2.2095505806155893E-2</v>
      </c>
      <c r="G4" s="4">
        <v>2.9527543321895184E-2</v>
      </c>
      <c r="H4" s="4">
        <v>3.8721713192844995E-2</v>
      </c>
      <c r="I4" s="5">
        <v>4.8840989225573776E-2</v>
      </c>
      <c r="J4" s="5">
        <v>6.3741062918643676E-2</v>
      </c>
      <c r="K4" s="5">
        <v>0.10224886286561924</v>
      </c>
      <c r="M4" s="17">
        <f t="shared" si="0"/>
        <v>4.4191011612311787E-2</v>
      </c>
    </row>
    <row r="5" spans="1:13" x14ac:dyDescent="0.35">
      <c r="A5" t="s">
        <v>4</v>
      </c>
      <c r="B5" s="4">
        <v>7.4275414943626716E-4</v>
      </c>
      <c r="C5" s="4">
        <v>4.307405972955417E-3</v>
      </c>
      <c r="D5" s="4">
        <v>7.9988426820605807E-3</v>
      </c>
      <c r="E5" s="4">
        <v>1.2091770681489767E-2</v>
      </c>
      <c r="F5" s="10">
        <v>1.7665843886469499E-2</v>
      </c>
      <c r="G5" s="4">
        <v>2.4821481319502729E-2</v>
      </c>
      <c r="H5" s="4">
        <v>3.1516272072048108E-2</v>
      </c>
      <c r="I5" s="5">
        <v>3.7374343994849749E-2</v>
      </c>
      <c r="J5" s="5">
        <v>4.2002246450361463E-2</v>
      </c>
      <c r="K5" s="5">
        <v>5.2598762744473691E-2</v>
      </c>
      <c r="M5" s="17">
        <f t="shared" si="0"/>
        <v>3.5331687772938998E-2</v>
      </c>
    </row>
    <row r="6" spans="1:13" x14ac:dyDescent="0.35">
      <c r="A6" t="s">
        <v>5</v>
      </c>
      <c r="B6" s="4">
        <v>1.1186153863855526E-3</v>
      </c>
      <c r="C6" s="4">
        <v>7.074578178884473E-3</v>
      </c>
      <c r="D6" s="4">
        <v>1.412406282072975E-2</v>
      </c>
      <c r="E6" s="4">
        <v>2.124108503056266E-2</v>
      </c>
      <c r="F6" s="10">
        <v>3.0130238758142372E-2</v>
      </c>
      <c r="G6" s="4">
        <v>4.3558734470525703E-2</v>
      </c>
      <c r="H6" s="4">
        <v>5.5087641542354203E-2</v>
      </c>
      <c r="I6" s="5">
        <v>6.6589943837649018E-2</v>
      </c>
      <c r="J6" s="5">
        <v>7.8952817087183366E-2</v>
      </c>
      <c r="K6" s="5">
        <v>9.1813334105307037E-2</v>
      </c>
      <c r="M6" s="17">
        <f t="shared" si="0"/>
        <v>6.0260477516284744E-2</v>
      </c>
    </row>
    <row r="7" spans="1:13" x14ac:dyDescent="0.35">
      <c r="A7" t="s">
        <v>6</v>
      </c>
      <c r="B7" s="4">
        <v>2.9699969039388473E-3</v>
      </c>
      <c r="C7" s="4">
        <v>6.582825701064084E-3</v>
      </c>
      <c r="D7" s="4">
        <v>6.8292342724273611E-3</v>
      </c>
      <c r="E7" s="4">
        <v>8.3047644327117198E-3</v>
      </c>
      <c r="F7" s="10">
        <v>1.0335367153359592E-2</v>
      </c>
      <c r="G7" s="4">
        <v>1.1585427150186308E-2</v>
      </c>
      <c r="H7" s="4">
        <v>1.2980378584940843E-2</v>
      </c>
      <c r="I7" s="5">
        <v>1.613510355136381E-2</v>
      </c>
      <c r="J7" s="5">
        <v>1.8230611887138957E-2</v>
      </c>
      <c r="K7" s="5">
        <v>2.0107819671891521E-2</v>
      </c>
      <c r="M7" s="17">
        <f t="shared" si="0"/>
        <v>2.0670734306719184E-2</v>
      </c>
    </row>
    <row r="8" spans="1:13" x14ac:dyDescent="0.35">
      <c r="A8" t="s">
        <v>7</v>
      </c>
      <c r="B8" s="4">
        <v>1.3956350455186875E-2</v>
      </c>
      <c r="C8" s="4">
        <v>2.9721025113126655E-2</v>
      </c>
      <c r="D8" s="4">
        <v>3.8131324421672282E-2</v>
      </c>
      <c r="E8" s="4">
        <v>4.3440357755500182E-2</v>
      </c>
      <c r="F8" s="10">
        <v>4.0239191193855314E-2</v>
      </c>
      <c r="G8" s="4">
        <v>3.7972948644247426E-2</v>
      </c>
      <c r="H8" s="4">
        <v>3.5268127923430245E-2</v>
      </c>
      <c r="I8" s="5">
        <v>3.0874935507786021E-2</v>
      </c>
      <c r="J8" s="5">
        <v>2.2803828439569615E-2</v>
      </c>
      <c r="K8" s="5">
        <v>1.3495285475851168E-2</v>
      </c>
      <c r="M8" s="17">
        <f t="shared" si="0"/>
        <v>8.0478382387710629E-2</v>
      </c>
    </row>
    <row r="9" spans="1:13" x14ac:dyDescent="0.35">
      <c r="A9" t="s">
        <v>8</v>
      </c>
      <c r="B9" s="4">
        <v>4.915936009785112E-3</v>
      </c>
      <c r="C9" s="4">
        <v>6.8873525565437228E-3</v>
      </c>
      <c r="D9" s="4">
        <v>8.8573773338236489E-3</v>
      </c>
      <c r="E9" s="4">
        <v>1.1151036632132292E-2</v>
      </c>
      <c r="F9" s="10">
        <v>1.3277380680134851E-2</v>
      </c>
      <c r="G9" s="4">
        <v>1.4492152996117386E-2</v>
      </c>
      <c r="H9" s="4">
        <v>1.6101743350690069E-2</v>
      </c>
      <c r="I9" s="5">
        <v>1.5929594105594493E-2</v>
      </c>
      <c r="J9" s="5">
        <v>1.4244177225963807E-2</v>
      </c>
      <c r="K9" s="5">
        <v>1.0428394751082107E-2</v>
      </c>
      <c r="M9" s="17">
        <f t="shared" si="0"/>
        <v>2.6554761360269703E-2</v>
      </c>
    </row>
    <row r="10" spans="1:13" x14ac:dyDescent="0.35">
      <c r="A10" t="s">
        <v>9</v>
      </c>
      <c r="B10" s="4">
        <v>2.1444942982636484E-2</v>
      </c>
      <c r="C10" s="4">
        <v>6.0999694112899301E-2</v>
      </c>
      <c r="D10" s="4">
        <v>8.6064332565562673E-2</v>
      </c>
      <c r="E10" s="4">
        <v>9.5126107917683431E-2</v>
      </c>
      <c r="F10" s="10">
        <v>8.4991113690209119E-2</v>
      </c>
      <c r="G10" s="4">
        <v>6.6607302090926412E-2</v>
      </c>
      <c r="H10" s="4">
        <v>4.820758767059885E-2</v>
      </c>
      <c r="I10" s="5">
        <v>2.8986373127122132E-2</v>
      </c>
      <c r="J10" s="5">
        <v>1.5713829438850239E-2</v>
      </c>
      <c r="K10" s="5">
        <v>3.7837546446869165E-3</v>
      </c>
      <c r="M10" s="17">
        <f t="shared" si="0"/>
        <v>0.16998222738041824</v>
      </c>
    </row>
    <row r="11" spans="1:13" x14ac:dyDescent="0.35">
      <c r="A11" t="s">
        <v>10</v>
      </c>
      <c r="B11" s="4">
        <v>4.7548728154173076E-2</v>
      </c>
      <c r="C11" s="4">
        <v>7.2751391269029242E-2</v>
      </c>
      <c r="D11" s="4">
        <v>9.1616075487471305E-2</v>
      </c>
      <c r="E11" s="4">
        <v>9.0630005516371542E-2</v>
      </c>
      <c r="F11" s="10">
        <v>7.4071895181907821E-2</v>
      </c>
      <c r="G11" s="4">
        <v>5.6666644163758037E-2</v>
      </c>
      <c r="H11" s="4">
        <v>3.9056646848531835E-2</v>
      </c>
      <c r="I11" s="5">
        <v>2.3861836752127975E-2</v>
      </c>
      <c r="J11" s="5">
        <v>1.3060612734483789E-2</v>
      </c>
      <c r="K11" s="5">
        <v>4.2994276555536797E-3</v>
      </c>
      <c r="M11" s="17">
        <f t="shared" si="0"/>
        <v>0.14814379036381564</v>
      </c>
    </row>
    <row r="12" spans="1:13" x14ac:dyDescent="0.35">
      <c r="A12" t="s">
        <v>11</v>
      </c>
      <c r="B12" s="4">
        <v>6.9334490271809176E-3</v>
      </c>
      <c r="C12" s="4">
        <v>1.8469311523652509E-2</v>
      </c>
      <c r="D12" s="4">
        <v>2.7841814113090085E-2</v>
      </c>
      <c r="E12" s="4">
        <v>3.1236327879231481E-2</v>
      </c>
      <c r="F12" s="10">
        <v>2.5954118243333629E-2</v>
      </c>
      <c r="G12" s="4">
        <v>2.0035449401463706E-2</v>
      </c>
      <c r="H12" s="4">
        <v>1.4558375018204055E-2</v>
      </c>
      <c r="I12" s="5">
        <v>1.0036243745689065E-2</v>
      </c>
      <c r="J12" s="5">
        <v>5.7378608634560515E-3</v>
      </c>
      <c r="K12" s="5">
        <v>1.7479477087701189E-3</v>
      </c>
      <c r="M12" s="17">
        <f t="shared" si="0"/>
        <v>5.1908236486667259E-2</v>
      </c>
    </row>
    <row r="13" spans="1:13" x14ac:dyDescent="0.35">
      <c r="A13" t="s">
        <v>12</v>
      </c>
      <c r="B13" s="4">
        <v>2.0273765653031359E-3</v>
      </c>
      <c r="C13" s="4">
        <v>1.1582259962630376E-2</v>
      </c>
      <c r="D13" s="4">
        <v>2.3058961106165593E-2</v>
      </c>
      <c r="E13" s="4">
        <v>3.6376897121993476E-2</v>
      </c>
      <c r="F13" s="10">
        <v>4.4278455769421389E-2</v>
      </c>
      <c r="G13" s="4">
        <v>4.2935909344444148E-2</v>
      </c>
      <c r="H13" s="4">
        <v>3.5526542078408781E-2</v>
      </c>
      <c r="I13" s="5">
        <v>2.3472340452465587E-2</v>
      </c>
      <c r="J13" s="5">
        <v>1.3538817625711273E-2</v>
      </c>
      <c r="K13" s="5">
        <v>6.3870944161563961E-3</v>
      </c>
      <c r="M13" s="17">
        <f t="shared" si="0"/>
        <v>8.8556911538842778E-2</v>
      </c>
    </row>
    <row r="14" spans="1:13" x14ac:dyDescent="0.35">
      <c r="A14" t="s">
        <v>13</v>
      </c>
      <c r="B14" s="4">
        <v>0.39457091838567321</v>
      </c>
      <c r="C14" s="4">
        <v>0.2552768113434376</v>
      </c>
      <c r="D14" s="4">
        <v>0.14272685853368172</v>
      </c>
      <c r="E14" s="4">
        <v>6.6495154942303389E-2</v>
      </c>
      <c r="F14" s="10">
        <v>3.6159837199782961E-2</v>
      </c>
      <c r="G14" s="4">
        <v>1.9481898025494947E-2</v>
      </c>
      <c r="H14" s="4">
        <v>9.8742006167125106E-3</v>
      </c>
      <c r="I14" s="5">
        <v>5.0449230437302796E-3</v>
      </c>
      <c r="J14" s="5">
        <v>2.8234320210149743E-3</v>
      </c>
      <c r="K14" s="5">
        <v>2.6429674706240996E-3</v>
      </c>
      <c r="M14" s="17">
        <f t="shared" si="0"/>
        <v>7.2319674399565922E-2</v>
      </c>
    </row>
    <row r="15" spans="1:13" x14ac:dyDescent="0.35">
      <c r="A15" s="7" t="s">
        <v>15</v>
      </c>
    </row>
    <row r="16" spans="1:13" x14ac:dyDescent="0.35">
      <c r="A16" t="s">
        <v>1</v>
      </c>
      <c r="B16" s="4">
        <v>2.8875250154524385E-3</v>
      </c>
      <c r="C16" s="4">
        <v>1.0715832913029711E-2</v>
      </c>
      <c r="D16" s="4">
        <v>2.4802654931845716E-2</v>
      </c>
      <c r="E16" s="4">
        <v>4.1374749076786933E-2</v>
      </c>
      <c r="F16" s="10">
        <v>5.9721874510536843E-2</v>
      </c>
      <c r="G16" s="4">
        <v>7.8935664159571761E-2</v>
      </c>
      <c r="H16" s="4">
        <v>9.584875736176722E-2</v>
      </c>
      <c r="I16" s="5">
        <v>0.11123004403822737</v>
      </c>
      <c r="J16" s="5">
        <v>0.1197852470517058</v>
      </c>
      <c r="K16" s="5">
        <v>0.10022583237086204</v>
      </c>
    </row>
    <row r="17" spans="1:11" x14ac:dyDescent="0.35">
      <c r="A17" t="s">
        <v>2</v>
      </c>
      <c r="B17" s="4">
        <v>6.2862680554197446E-4</v>
      </c>
      <c r="C17" s="4">
        <v>6.3094145677829233E-3</v>
      </c>
      <c r="D17" s="4">
        <v>1.3377963308208932E-2</v>
      </c>
      <c r="E17" s="4">
        <v>2.3029544321052229E-2</v>
      </c>
      <c r="F17" s="10">
        <v>3.5726773532604658E-2</v>
      </c>
      <c r="G17" s="4">
        <v>4.9765824227373627E-2</v>
      </c>
      <c r="H17" s="4">
        <v>6.3729258427570365E-2</v>
      </c>
      <c r="I17" s="5">
        <v>7.7045134235958448E-2</v>
      </c>
      <c r="J17" s="5">
        <v>8.9106579204791328E-2</v>
      </c>
      <c r="K17" s="5">
        <v>9.7350342772908965E-2</v>
      </c>
    </row>
    <row r="18" spans="1:11" x14ac:dyDescent="0.35">
      <c r="A18" t="s">
        <v>3</v>
      </c>
      <c r="B18" s="4">
        <v>3.1076408518204197E-4</v>
      </c>
      <c r="C18" s="4">
        <v>3.5139801798690518E-3</v>
      </c>
      <c r="D18" s="4">
        <v>7.334968459287783E-3</v>
      </c>
      <c r="E18" s="4">
        <v>1.2626079088251562E-2</v>
      </c>
      <c r="F18" s="10">
        <v>1.9604901750942573E-2</v>
      </c>
      <c r="G18" s="4">
        <v>2.8048876472311638E-2</v>
      </c>
      <c r="H18" s="4">
        <v>3.67463255336513E-2</v>
      </c>
      <c r="I18" s="5">
        <v>4.7664481648181302E-2</v>
      </c>
      <c r="J18" s="5">
        <v>6.3228566403370212E-2</v>
      </c>
      <c r="K18" s="5">
        <v>9.7639021900690209E-2</v>
      </c>
    </row>
    <row r="19" spans="1:11" x14ac:dyDescent="0.35">
      <c r="A19" t="s">
        <v>4</v>
      </c>
      <c r="B19" s="4">
        <v>3.651231353235137E-4</v>
      </c>
      <c r="C19" s="4">
        <v>3.0432555003729891E-3</v>
      </c>
      <c r="D19" s="4">
        <v>7.5577055280788355E-3</v>
      </c>
      <c r="E19" s="4">
        <v>1.2533180957580162E-2</v>
      </c>
      <c r="F19" s="10">
        <v>1.8308458611092374E-2</v>
      </c>
      <c r="G19" s="4">
        <v>2.4769061169697449E-2</v>
      </c>
      <c r="H19" s="4">
        <v>3.1609553350793303E-2</v>
      </c>
      <c r="I19" s="5">
        <v>3.8070551661185337E-2</v>
      </c>
      <c r="J19" s="5">
        <v>4.3598283186776388E-2</v>
      </c>
      <c r="K19" s="5">
        <v>5.3358128784702627E-2</v>
      </c>
    </row>
    <row r="20" spans="1:11" x14ac:dyDescent="0.35">
      <c r="A20" t="s">
        <v>5</v>
      </c>
      <c r="B20" s="4">
        <v>6.9600775483183582E-4</v>
      </c>
      <c r="C20" s="4">
        <v>6.1923797337673581E-3</v>
      </c>
      <c r="D20" s="4">
        <v>1.2239595842979482E-2</v>
      </c>
      <c r="E20" s="4">
        <v>2.0851509357884688E-2</v>
      </c>
      <c r="F20" s="10">
        <v>3.0383235176204421E-2</v>
      </c>
      <c r="G20" s="4">
        <v>4.0338426501813046E-2</v>
      </c>
      <c r="H20" s="4">
        <v>5.29689701284786E-2</v>
      </c>
      <c r="I20" s="5">
        <v>6.3930421254670147E-2</v>
      </c>
      <c r="J20" s="5">
        <v>7.5901725635870623E-2</v>
      </c>
      <c r="K20" s="5">
        <v>9.3883044299640006E-2</v>
      </c>
    </row>
    <row r="21" spans="1:11" x14ac:dyDescent="0.35">
      <c r="A21" t="s">
        <v>6</v>
      </c>
      <c r="B21" s="4">
        <v>3.1037544315881903E-3</v>
      </c>
      <c r="C21" s="4">
        <v>4.5644460060438301E-3</v>
      </c>
      <c r="D21" s="4">
        <v>6.6067221326424098E-3</v>
      </c>
      <c r="E21" s="4">
        <v>8.0770422916604662E-3</v>
      </c>
      <c r="F21" s="10">
        <v>1.0218044395974115E-2</v>
      </c>
      <c r="G21" s="4">
        <v>1.1768929267229188E-2</v>
      </c>
      <c r="H21" s="4">
        <v>1.3267171659613703E-2</v>
      </c>
      <c r="I21" s="5">
        <v>1.5102690545559926E-2</v>
      </c>
      <c r="J21" s="5">
        <v>1.6510810759848633E-2</v>
      </c>
      <c r="K21" s="5">
        <v>2.0199919603908639E-2</v>
      </c>
    </row>
    <row r="22" spans="1:11" x14ac:dyDescent="0.35">
      <c r="A22" t="s">
        <v>7</v>
      </c>
      <c r="B22" s="4">
        <v>1.3622760994208062E-2</v>
      </c>
      <c r="C22" s="4">
        <v>2.4403045404570192E-2</v>
      </c>
      <c r="D22" s="4">
        <v>3.5781690448271758E-2</v>
      </c>
      <c r="E22" s="4">
        <v>4.2635084575726373E-2</v>
      </c>
      <c r="F22" s="10">
        <v>4.3370553033905655E-2</v>
      </c>
      <c r="G22" s="4">
        <v>4.2239547428372611E-2</v>
      </c>
      <c r="H22" s="4">
        <v>4.2239152549345842E-2</v>
      </c>
      <c r="I22" s="5">
        <v>3.671166889072728E-2</v>
      </c>
      <c r="J22" s="5">
        <v>2.5152242709322297E-2</v>
      </c>
      <c r="K22" s="5">
        <v>1.2686285707115118E-2</v>
      </c>
    </row>
    <row r="23" spans="1:11" x14ac:dyDescent="0.35">
      <c r="A23" t="s">
        <v>8</v>
      </c>
      <c r="B23" s="4">
        <v>4.5465191776545696E-3</v>
      </c>
      <c r="C23" s="4">
        <v>6.0615452422406258E-3</v>
      </c>
      <c r="D23" s="4">
        <v>8.7525896144465855E-3</v>
      </c>
      <c r="E23" s="4">
        <v>1.228363696709958E-2</v>
      </c>
      <c r="F23" s="10">
        <v>1.5670543809725126E-2</v>
      </c>
      <c r="G23" s="4">
        <v>1.7694412670716583E-2</v>
      </c>
      <c r="H23" s="4">
        <v>1.8676893446305354E-2</v>
      </c>
      <c r="I23" s="5">
        <v>1.8993362369701935E-2</v>
      </c>
      <c r="J23" s="5">
        <v>1.6299438096525246E-2</v>
      </c>
      <c r="K23" s="5">
        <v>1.0354943179496503E-2</v>
      </c>
    </row>
    <row r="24" spans="1:11" x14ac:dyDescent="0.35">
      <c r="A24" t="s">
        <v>9</v>
      </c>
      <c r="B24" s="4">
        <v>2.203444092662343E-2</v>
      </c>
      <c r="C24" s="4">
        <v>4.1925089893304256E-2</v>
      </c>
      <c r="D24" s="4">
        <v>7.2801381047395516E-2</v>
      </c>
      <c r="E24" s="4">
        <v>8.5615948926650184E-2</v>
      </c>
      <c r="F24" s="10">
        <v>7.7537069874032721E-2</v>
      </c>
      <c r="G24" s="4">
        <v>6.1514490811600986E-2</v>
      </c>
      <c r="H24" s="4">
        <v>4.4355474304987624E-2</v>
      </c>
      <c r="I24" s="5">
        <v>2.7760154272104386E-2</v>
      </c>
      <c r="J24" s="5">
        <v>1.4962849367977692E-2</v>
      </c>
      <c r="K24" s="5">
        <v>4.194143320136518E-3</v>
      </c>
    </row>
    <row r="25" spans="1:11" x14ac:dyDescent="0.35">
      <c r="A25" t="s">
        <v>10</v>
      </c>
      <c r="B25" s="4">
        <v>3.0934931193633178E-2</v>
      </c>
      <c r="C25" s="4">
        <v>5.4202576209521319E-2</v>
      </c>
      <c r="D25" s="4">
        <v>8.2711472859506016E-2</v>
      </c>
      <c r="E25" s="4">
        <v>9.0630798079427297E-2</v>
      </c>
      <c r="F25" s="10">
        <v>7.7473978746015887E-2</v>
      </c>
      <c r="G25" s="4">
        <v>5.986592950355419E-2</v>
      </c>
      <c r="H25" s="4">
        <v>4.0750470917841945E-2</v>
      </c>
      <c r="I25" s="5">
        <v>2.5622140403486787E-2</v>
      </c>
      <c r="J25" s="5">
        <v>1.3839128026726785E-2</v>
      </c>
      <c r="K25" s="5">
        <v>1.8082305672402874E-3</v>
      </c>
    </row>
    <row r="26" spans="1:11" x14ac:dyDescent="0.35">
      <c r="A26" t="s">
        <v>11</v>
      </c>
      <c r="B26" s="4">
        <v>7.5191686064987251E-3</v>
      </c>
      <c r="C26" s="4">
        <v>1.3861932312891807E-2</v>
      </c>
      <c r="D26" s="4">
        <v>2.4893669710080293E-2</v>
      </c>
      <c r="E26" s="4">
        <v>3.0739984969891856E-2</v>
      </c>
      <c r="F26" s="10">
        <v>2.8414628862090528E-2</v>
      </c>
      <c r="G26" s="4">
        <v>2.1826354557663387E-2</v>
      </c>
      <c r="H26" s="4">
        <v>1.6092070355329474E-2</v>
      </c>
      <c r="I26" s="5">
        <v>9.431083557291782E-3</v>
      </c>
      <c r="J26" s="5">
        <v>5.2427179956116799E-3</v>
      </c>
      <c r="K26" s="5">
        <v>1.5089184429566305E-3</v>
      </c>
    </row>
    <row r="27" spans="1:11" x14ac:dyDescent="0.35">
      <c r="A27" t="s">
        <v>12</v>
      </c>
      <c r="B27" s="4">
        <v>2.7045988196515965E-3</v>
      </c>
      <c r="C27" s="4">
        <v>7.6189974874999716E-3</v>
      </c>
      <c r="D27" s="4">
        <v>1.9363916857331284E-2</v>
      </c>
      <c r="E27" s="4">
        <v>3.0854671769890069E-2</v>
      </c>
      <c r="F27" s="10">
        <v>4.0863432437118721E-2</v>
      </c>
      <c r="G27" s="4">
        <v>4.0062510708589912E-2</v>
      </c>
      <c r="H27" s="4">
        <v>3.1962805722102541E-2</v>
      </c>
      <c r="I27" s="5">
        <v>2.1911003929568823E-2</v>
      </c>
      <c r="J27" s="5">
        <v>1.2827619164375617E-2</v>
      </c>
      <c r="K27" s="5">
        <v>3.8745400255329665E-3</v>
      </c>
    </row>
    <row r="28" spans="1:11" x14ac:dyDescent="0.35">
      <c r="A28" t="s">
        <v>13</v>
      </c>
      <c r="B28" s="4">
        <v>0.41070445888388291</v>
      </c>
      <c r="C28" s="4">
        <v>0.31758766286197143</v>
      </c>
      <c r="D28" s="4">
        <v>0.1837755465176947</v>
      </c>
      <c r="E28" s="4">
        <v>8.8747779197604362E-2</v>
      </c>
      <c r="F28" s="10">
        <v>4.2706515778583143E-2</v>
      </c>
      <c r="G28" s="4">
        <v>2.3169985879564821E-2</v>
      </c>
      <c r="H28" s="4">
        <v>1.1753106168488665E-2</v>
      </c>
      <c r="I28" s="5">
        <v>6.5272497371262868E-3</v>
      </c>
      <c r="J28" s="5">
        <v>3.6105258911646753E-3</v>
      </c>
      <c r="K28" s="5">
        <v>2.9191726993425698E-3</v>
      </c>
    </row>
    <row r="29" spans="1:11" x14ac:dyDescent="0.35">
      <c r="B29" s="8"/>
      <c r="C29" s="8"/>
      <c r="D29" s="8"/>
      <c r="E29" s="8"/>
      <c r="F29" s="12"/>
      <c r="G29" s="8"/>
      <c r="H29" s="8"/>
      <c r="I29" s="8"/>
      <c r="J29" s="8"/>
      <c r="K29" s="8"/>
    </row>
    <row r="30" spans="1:11" x14ac:dyDescent="0.35">
      <c r="A30" s="7" t="s">
        <v>0</v>
      </c>
      <c r="B30" s="8">
        <v>3.2002895354739186E-2</v>
      </c>
      <c r="C30" s="8">
        <v>3.7724044086523884E-2</v>
      </c>
      <c r="D30" s="8">
        <v>4.4438057736538188E-2</v>
      </c>
      <c r="E30" s="8">
        <v>5.0992693567143373E-2</v>
      </c>
      <c r="F30" s="12">
        <v>5.6963811195774594E-2</v>
      </c>
      <c r="G30" s="8">
        <v>6.2318924211666682E-2</v>
      </c>
      <c r="H30" s="8">
        <v>6.7140439557589277E-2</v>
      </c>
      <c r="I30" s="8">
        <v>7.1447582148283589E-2</v>
      </c>
      <c r="J30" s="8">
        <v>7.4993510724040383E-2</v>
      </c>
      <c r="K30" s="8">
        <v>7.7623000994823707E-2</v>
      </c>
    </row>
    <row r="31" spans="1:11" x14ac:dyDescent="0.35">
      <c r="A31" s="7" t="s">
        <v>16</v>
      </c>
      <c r="B31" s="8">
        <v>9.6177822423901618E-3</v>
      </c>
      <c r="C31" s="8">
        <v>2.0983904962324534E-2</v>
      </c>
      <c r="D31" s="8">
        <v>3.5912762197142747E-2</v>
      </c>
      <c r="E31" s="8">
        <v>5.1422004721659705E-2</v>
      </c>
      <c r="F31" s="12">
        <v>6.6998557727804595E-2</v>
      </c>
      <c r="G31" s="8">
        <v>8.251785544542023E-2</v>
      </c>
      <c r="H31" s="8">
        <v>9.7840069092118162E-2</v>
      </c>
      <c r="I31" s="8">
        <v>0.11276162820444995</v>
      </c>
      <c r="J31" s="8">
        <v>0.12636143402490971</v>
      </c>
      <c r="K31" s="8">
        <v>0.14117744295480941</v>
      </c>
    </row>
    <row r="33" spans="1:15" x14ac:dyDescent="0.35">
      <c r="A33" s="7" t="s">
        <v>17</v>
      </c>
      <c r="B33" s="1">
        <v>1</v>
      </c>
      <c r="C33" s="1">
        <v>2</v>
      </c>
      <c r="D33" s="1">
        <v>3</v>
      </c>
      <c r="E33" s="1">
        <v>4</v>
      </c>
      <c r="F33" s="9">
        <v>5</v>
      </c>
      <c r="G33" s="1">
        <v>6</v>
      </c>
      <c r="H33" s="1">
        <v>7</v>
      </c>
      <c r="I33" s="1">
        <v>8</v>
      </c>
      <c r="J33" s="1">
        <v>9</v>
      </c>
      <c r="K33" s="1">
        <v>10</v>
      </c>
    </row>
    <row r="34" spans="1:15" x14ac:dyDescent="0.35">
      <c r="A34" t="s">
        <v>1</v>
      </c>
      <c r="B34" s="4">
        <f>B2+B16</f>
        <v>5.4545060194907515E-3</v>
      </c>
      <c r="C34" s="4">
        <f t="shared" ref="C34:K34" si="1">C2+C16</f>
        <v>2.4747681011449592E-2</v>
      </c>
      <c r="D34" s="4">
        <f t="shared" si="1"/>
        <v>5.3272316470801898E-2</v>
      </c>
      <c r="E34" s="4">
        <f t="shared" si="1"/>
        <v>8.6283357387995821E-2</v>
      </c>
      <c r="F34" s="10">
        <f t="shared" si="1"/>
        <v>0.12369925923249132</v>
      </c>
      <c r="G34" s="4">
        <f t="shared" si="1"/>
        <v>0.15970398998982044</v>
      </c>
      <c r="H34" s="4">
        <f t="shared" si="1"/>
        <v>0.19212960160172748</v>
      </c>
      <c r="I34" s="4">
        <f t="shared" si="1"/>
        <v>0.22223024124570764</v>
      </c>
      <c r="J34" s="4">
        <f t="shared" si="1"/>
        <v>0.2383613678947476</v>
      </c>
      <c r="K34" s="4">
        <f t="shared" si="1"/>
        <v>0.20264719670138229</v>
      </c>
      <c r="M34" s="15">
        <f>K34*$M$47</f>
        <v>405294.39340276457</v>
      </c>
      <c r="N34" s="8">
        <f>MIN(B34:K34)</f>
        <v>5.4545060194907515E-3</v>
      </c>
      <c r="O34" s="8">
        <f>MAX(B34:K34)</f>
        <v>0.2383613678947476</v>
      </c>
    </row>
    <row r="35" spans="1:15" x14ac:dyDescent="0.35">
      <c r="A35" t="s">
        <v>2</v>
      </c>
      <c r="B35" s="4">
        <f t="shared" ref="B35:K46" si="2">B3+B17</f>
        <v>1.584630675585962E-3</v>
      </c>
      <c r="C35" s="4">
        <f t="shared" si="2"/>
        <v>1.3790094011845517E-2</v>
      </c>
      <c r="D35" s="4">
        <f t="shared" si="2"/>
        <v>2.8728147272749277E-2</v>
      </c>
      <c r="E35" s="4">
        <f t="shared" si="2"/>
        <v>4.7190785475251421E-2</v>
      </c>
      <c r="F35" s="10">
        <f t="shared" si="2"/>
        <v>7.2550416680277369E-2</v>
      </c>
      <c r="G35" s="4">
        <f>G3+G17</f>
        <v>0.10131198228226039</v>
      </c>
      <c r="H35" s="4">
        <f t="shared" si="2"/>
        <v>0.13054916070299605</v>
      </c>
      <c r="I35" s="4">
        <f t="shared" si="2"/>
        <v>0.15889830571627972</v>
      </c>
      <c r="J35" s="4">
        <f t="shared" si="2"/>
        <v>0.17968120799811019</v>
      </c>
      <c r="K35" s="4">
        <f t="shared" si="2"/>
        <v>0.1853690657809379</v>
      </c>
      <c r="M35" s="15">
        <f t="shared" ref="M35:M46" si="3">K35*$M$47</f>
        <v>370738.13156187581</v>
      </c>
      <c r="N35" s="8">
        <f t="shared" ref="N35:N46" si="4">MIN(B35:K35)</f>
        <v>1.584630675585962E-3</v>
      </c>
      <c r="O35" s="8">
        <f t="shared" ref="O35:O46" si="5">MAX(B35:K35)</f>
        <v>0.1853690657809379</v>
      </c>
    </row>
    <row r="36" spans="1:15" x14ac:dyDescent="0.35">
      <c r="A36" t="s">
        <v>3</v>
      </c>
      <c r="B36" s="4">
        <f t="shared" si="2"/>
        <v>5.5869170606122928E-4</v>
      </c>
      <c r="C36" s="4">
        <f t="shared" si="2"/>
        <v>8.3487878571618448E-3</v>
      </c>
      <c r="D36" s="4">
        <f t="shared" si="2"/>
        <v>1.6266226821067934E-2</v>
      </c>
      <c r="E36" s="4">
        <f t="shared" si="2"/>
        <v>2.7462696888793887E-2</v>
      </c>
      <c r="F36" s="10">
        <f t="shared" si="2"/>
        <v>4.1700407557098466E-2</v>
      </c>
      <c r="G36" s="4">
        <f t="shared" si="2"/>
        <v>5.7576419794206822E-2</v>
      </c>
      <c r="H36" s="4">
        <f t="shared" si="2"/>
        <v>7.5468038726496295E-2</v>
      </c>
      <c r="I36" s="4">
        <f t="shared" si="2"/>
        <v>9.6505470873755078E-2</v>
      </c>
      <c r="J36" s="4">
        <f t="shared" si="2"/>
        <v>0.12696962932201389</v>
      </c>
      <c r="K36" s="4">
        <f t="shared" si="2"/>
        <v>0.19988788476630945</v>
      </c>
      <c r="M36" s="15">
        <f t="shared" si="3"/>
        <v>399775.76953261887</v>
      </c>
      <c r="N36" s="8">
        <f t="shared" si="4"/>
        <v>5.5869170606122928E-4</v>
      </c>
      <c r="O36" s="8">
        <f t="shared" si="5"/>
        <v>0.19988788476630945</v>
      </c>
    </row>
    <row r="37" spans="1:15" x14ac:dyDescent="0.35">
      <c r="A37" t="s">
        <v>4</v>
      </c>
      <c r="B37" s="4">
        <f t="shared" si="2"/>
        <v>1.1078772847597808E-3</v>
      </c>
      <c r="C37" s="4">
        <f t="shared" si="2"/>
        <v>7.3506614733284056E-3</v>
      </c>
      <c r="D37" s="4">
        <f t="shared" si="2"/>
        <v>1.5556548210139416E-2</v>
      </c>
      <c r="E37" s="4">
        <f t="shared" si="2"/>
        <v>2.4624951639069928E-2</v>
      </c>
      <c r="F37" s="10">
        <f t="shared" si="2"/>
        <v>3.5974302497561873E-2</v>
      </c>
      <c r="G37" s="4">
        <f t="shared" si="2"/>
        <v>4.9590542489200182E-2</v>
      </c>
      <c r="H37" s="4">
        <f t="shared" si="2"/>
        <v>6.3125825422841411E-2</v>
      </c>
      <c r="I37" s="4">
        <f t="shared" si="2"/>
        <v>7.5444895656035085E-2</v>
      </c>
      <c r="J37" s="4">
        <f t="shared" si="2"/>
        <v>8.5600529637137851E-2</v>
      </c>
      <c r="K37" s="4">
        <f t="shared" si="2"/>
        <v>0.10595689152917631</v>
      </c>
      <c r="M37" s="15">
        <f t="shared" si="3"/>
        <v>211913.78305835262</v>
      </c>
      <c r="N37" s="8">
        <f t="shared" si="4"/>
        <v>1.1078772847597808E-3</v>
      </c>
      <c r="O37" s="8">
        <f t="shared" si="5"/>
        <v>0.10595689152917631</v>
      </c>
    </row>
    <row r="38" spans="1:15" x14ac:dyDescent="0.35">
      <c r="A38" t="s">
        <v>5</v>
      </c>
      <c r="B38" s="4">
        <f t="shared" si="2"/>
        <v>1.8146231412173885E-3</v>
      </c>
      <c r="C38" s="4">
        <f t="shared" si="2"/>
        <v>1.3266957912651832E-2</v>
      </c>
      <c r="D38" s="4">
        <f t="shared" si="2"/>
        <v>2.6363658663709232E-2</v>
      </c>
      <c r="E38" s="4">
        <f t="shared" si="2"/>
        <v>4.2092594388447348E-2</v>
      </c>
      <c r="F38" s="10">
        <f t="shared" si="2"/>
        <v>6.0513473934346793E-2</v>
      </c>
      <c r="G38" s="4">
        <f t="shared" si="2"/>
        <v>8.389716097233875E-2</v>
      </c>
      <c r="H38" s="4">
        <f t="shared" si="2"/>
        <v>0.1080566116708328</v>
      </c>
      <c r="I38" s="4">
        <f t="shared" si="2"/>
        <v>0.13052036509231918</v>
      </c>
      <c r="J38" s="4">
        <f t="shared" si="2"/>
        <v>0.15485454272305399</v>
      </c>
      <c r="K38" s="4">
        <f t="shared" si="2"/>
        <v>0.18569637840494704</v>
      </c>
      <c r="M38" s="16">
        <f t="shared" si="3"/>
        <v>371392.75680989411</v>
      </c>
      <c r="N38" s="8">
        <f t="shared" si="4"/>
        <v>1.8146231412173885E-3</v>
      </c>
      <c r="O38" s="8">
        <f t="shared" si="5"/>
        <v>0.18569637840494704</v>
      </c>
    </row>
    <row r="39" spans="1:15" x14ac:dyDescent="0.35">
      <c r="A39" t="s">
        <v>6</v>
      </c>
      <c r="B39" s="4">
        <f t="shared" si="2"/>
        <v>6.0737513355270372E-3</v>
      </c>
      <c r="C39" s="4">
        <f t="shared" si="2"/>
        <v>1.1147271707107914E-2</v>
      </c>
      <c r="D39" s="4">
        <f t="shared" si="2"/>
        <v>1.3435956405069772E-2</v>
      </c>
      <c r="E39" s="4">
        <f t="shared" si="2"/>
        <v>1.6381806724372186E-2</v>
      </c>
      <c r="F39" s="10">
        <f t="shared" si="2"/>
        <v>2.0553411549333708E-2</v>
      </c>
      <c r="G39" s="4">
        <f t="shared" si="2"/>
        <v>2.3354356417415498E-2</v>
      </c>
      <c r="H39" s="4">
        <f t="shared" si="2"/>
        <v>2.6247550244554545E-2</v>
      </c>
      <c r="I39" s="4">
        <f t="shared" si="2"/>
        <v>3.1237794096923736E-2</v>
      </c>
      <c r="J39" s="4">
        <f t="shared" si="2"/>
        <v>3.4741422646987589E-2</v>
      </c>
      <c r="K39" s="4">
        <f t="shared" si="2"/>
        <v>4.0307739275800156E-2</v>
      </c>
      <c r="M39" s="15">
        <f t="shared" si="3"/>
        <v>80615.478551600318</v>
      </c>
      <c r="N39" s="8">
        <f t="shared" si="4"/>
        <v>6.0737513355270372E-3</v>
      </c>
      <c r="O39" s="8">
        <f t="shared" si="5"/>
        <v>4.0307739275800156E-2</v>
      </c>
    </row>
    <row r="40" spans="1:15" x14ac:dyDescent="0.35">
      <c r="A40" t="s">
        <v>7</v>
      </c>
      <c r="B40" s="4">
        <f t="shared" si="2"/>
        <v>2.7579111449394938E-2</v>
      </c>
      <c r="C40" s="4">
        <f t="shared" si="2"/>
        <v>5.4124070517696847E-2</v>
      </c>
      <c r="D40" s="4">
        <f t="shared" si="2"/>
        <v>7.3913014869944033E-2</v>
      </c>
      <c r="E40" s="4">
        <f t="shared" si="2"/>
        <v>8.6075442331226548E-2</v>
      </c>
      <c r="F40" s="10">
        <f t="shared" si="2"/>
        <v>8.3609744227760963E-2</v>
      </c>
      <c r="G40" s="4">
        <f t="shared" si="2"/>
        <v>8.0212496072620043E-2</v>
      </c>
      <c r="H40" s="4">
        <f t="shared" si="2"/>
        <v>7.750728047277608E-2</v>
      </c>
      <c r="I40" s="4">
        <f t="shared" si="2"/>
        <v>6.75866043985133E-2</v>
      </c>
      <c r="J40" s="4">
        <f t="shared" si="2"/>
        <v>4.7956071148891916E-2</v>
      </c>
      <c r="K40" s="4">
        <f t="shared" si="2"/>
        <v>2.6181571182966289E-2</v>
      </c>
      <c r="M40" s="15">
        <f t="shared" si="3"/>
        <v>52363.142365932574</v>
      </c>
      <c r="N40" s="8">
        <f t="shared" si="4"/>
        <v>2.6181571182966289E-2</v>
      </c>
      <c r="O40" s="8">
        <f t="shared" si="5"/>
        <v>8.6075442331226548E-2</v>
      </c>
    </row>
    <row r="41" spans="1:15" x14ac:dyDescent="0.35">
      <c r="A41" t="s">
        <v>8</v>
      </c>
      <c r="B41" s="4">
        <f t="shared" si="2"/>
        <v>9.4624551874396817E-3</v>
      </c>
      <c r="C41" s="4">
        <f t="shared" si="2"/>
        <v>1.2948897798784349E-2</v>
      </c>
      <c r="D41" s="4">
        <f t="shared" si="2"/>
        <v>1.7609966948270234E-2</v>
      </c>
      <c r="E41" s="4">
        <f t="shared" si="2"/>
        <v>2.3434673599231872E-2</v>
      </c>
      <c r="F41" s="10">
        <f t="shared" si="2"/>
        <v>2.8947924489859979E-2</v>
      </c>
      <c r="G41" s="4">
        <f t="shared" si="2"/>
        <v>3.218656566683397E-2</v>
      </c>
      <c r="H41" s="4">
        <f t="shared" si="2"/>
        <v>3.4778636796995423E-2</v>
      </c>
      <c r="I41" s="4">
        <f t="shared" si="2"/>
        <v>3.4922956475296432E-2</v>
      </c>
      <c r="J41" s="4">
        <f t="shared" si="2"/>
        <v>3.0543615322489052E-2</v>
      </c>
      <c r="K41" s="4">
        <f t="shared" si="2"/>
        <v>2.078333793057861E-2</v>
      </c>
      <c r="M41" s="15">
        <f t="shared" si="3"/>
        <v>41566.675861157222</v>
      </c>
      <c r="N41" s="8">
        <f t="shared" si="4"/>
        <v>9.4624551874396817E-3</v>
      </c>
      <c r="O41" s="8">
        <f t="shared" si="5"/>
        <v>3.4922956475296432E-2</v>
      </c>
    </row>
    <row r="42" spans="1:15" x14ac:dyDescent="0.35">
      <c r="A42" t="s">
        <v>9</v>
      </c>
      <c r="B42" s="4">
        <f t="shared" si="2"/>
        <v>4.3479383909259914E-2</v>
      </c>
      <c r="C42" s="4">
        <f t="shared" si="2"/>
        <v>0.10292478400620356</v>
      </c>
      <c r="D42" s="4">
        <f t="shared" si="2"/>
        <v>0.1588657136129582</v>
      </c>
      <c r="E42" s="4">
        <f t="shared" si="2"/>
        <v>0.18074205684433362</v>
      </c>
      <c r="F42" s="10">
        <f t="shared" si="2"/>
        <v>0.16252818356424184</v>
      </c>
      <c r="G42" s="4">
        <f t="shared" si="2"/>
        <v>0.1281217929025274</v>
      </c>
      <c r="H42" s="4">
        <f t="shared" si="2"/>
        <v>9.2563061975586475E-2</v>
      </c>
      <c r="I42" s="4">
        <f t="shared" si="2"/>
        <v>5.6746527399226518E-2</v>
      </c>
      <c r="J42" s="4">
        <f t="shared" si="2"/>
        <v>3.067667880682793E-2</v>
      </c>
      <c r="K42" s="4">
        <f t="shared" si="2"/>
        <v>7.9778979648234341E-3</v>
      </c>
      <c r="M42" s="15">
        <f t="shared" si="3"/>
        <v>15955.795929646869</v>
      </c>
      <c r="N42" s="8">
        <f t="shared" si="4"/>
        <v>7.9778979648234341E-3</v>
      </c>
      <c r="O42" s="8">
        <f t="shared" si="5"/>
        <v>0.18074205684433362</v>
      </c>
    </row>
    <row r="43" spans="1:15" x14ac:dyDescent="0.35">
      <c r="A43" t="s">
        <v>10</v>
      </c>
      <c r="B43" s="4">
        <f t="shared" si="2"/>
        <v>7.8483659347806253E-2</v>
      </c>
      <c r="C43" s="4">
        <f t="shared" si="2"/>
        <v>0.12695396747855056</v>
      </c>
      <c r="D43" s="4">
        <f t="shared" si="2"/>
        <v>0.17432754834697733</v>
      </c>
      <c r="E43" s="4">
        <f t="shared" si="2"/>
        <v>0.18126080359579883</v>
      </c>
      <c r="F43" s="10">
        <f t="shared" si="2"/>
        <v>0.15154587392792371</v>
      </c>
      <c r="G43" s="4">
        <f t="shared" si="2"/>
        <v>0.11653257366731223</v>
      </c>
      <c r="H43" s="4">
        <f t="shared" si="2"/>
        <v>7.9807117766373781E-2</v>
      </c>
      <c r="I43" s="4">
        <f t="shared" si="2"/>
        <v>4.9483977155614763E-2</v>
      </c>
      <c r="J43" s="4">
        <f t="shared" si="2"/>
        <v>2.6899740761210572E-2</v>
      </c>
      <c r="K43" s="4">
        <f t="shared" si="2"/>
        <v>6.1076582227939675E-3</v>
      </c>
      <c r="M43" s="15">
        <f t="shared" si="3"/>
        <v>12215.316445587934</v>
      </c>
      <c r="N43" s="8">
        <f t="shared" si="4"/>
        <v>6.1076582227939675E-3</v>
      </c>
      <c r="O43" s="8">
        <f t="shared" si="5"/>
        <v>0.18126080359579883</v>
      </c>
    </row>
    <row r="44" spans="1:15" x14ac:dyDescent="0.35">
      <c r="A44" t="s">
        <v>11</v>
      </c>
      <c r="B44" s="4">
        <f t="shared" si="2"/>
        <v>1.4452617633679643E-2</v>
      </c>
      <c r="C44" s="4">
        <f t="shared" si="2"/>
        <v>3.2331243836544316E-2</v>
      </c>
      <c r="D44" s="4">
        <f t="shared" si="2"/>
        <v>5.2735483823170379E-2</v>
      </c>
      <c r="E44" s="4">
        <f t="shared" si="2"/>
        <v>6.1976312849123333E-2</v>
      </c>
      <c r="F44" s="10">
        <f t="shared" si="2"/>
        <v>5.4368747105424158E-2</v>
      </c>
      <c r="G44" s="4">
        <f t="shared" si="2"/>
        <v>4.1861803959127093E-2</v>
      </c>
      <c r="H44" s="4">
        <f t="shared" si="2"/>
        <v>3.0650445373533529E-2</v>
      </c>
      <c r="I44" s="4">
        <f t="shared" si="2"/>
        <v>1.9467327302980848E-2</v>
      </c>
      <c r="J44" s="4">
        <f t="shared" si="2"/>
        <v>1.0980578859067731E-2</v>
      </c>
      <c r="K44" s="4">
        <f t="shared" si="2"/>
        <v>3.2568661517267494E-3</v>
      </c>
      <c r="M44" s="15">
        <f t="shared" si="3"/>
        <v>6513.7323034534984</v>
      </c>
      <c r="N44" s="8">
        <f t="shared" si="4"/>
        <v>3.2568661517267494E-3</v>
      </c>
      <c r="O44" s="8">
        <f t="shared" si="5"/>
        <v>6.1976312849123333E-2</v>
      </c>
    </row>
    <row r="45" spans="1:15" x14ac:dyDescent="0.35">
      <c r="A45" t="s">
        <v>12</v>
      </c>
      <c r="B45" s="4">
        <f t="shared" si="2"/>
        <v>4.7319753849547324E-3</v>
      </c>
      <c r="C45" s="4">
        <f t="shared" si="2"/>
        <v>1.9201257450130349E-2</v>
      </c>
      <c r="D45" s="4">
        <f t="shared" si="2"/>
        <v>4.2422877963496877E-2</v>
      </c>
      <c r="E45" s="4">
        <f t="shared" si="2"/>
        <v>6.7231568891883545E-2</v>
      </c>
      <c r="F45" s="10">
        <f t="shared" si="2"/>
        <v>8.5141888206540117E-2</v>
      </c>
      <c r="G45" s="4">
        <f t="shared" si="2"/>
        <v>8.2998420053034067E-2</v>
      </c>
      <c r="H45" s="4">
        <f t="shared" si="2"/>
        <v>6.7489347800511329E-2</v>
      </c>
      <c r="I45" s="4">
        <f t="shared" si="2"/>
        <v>4.538334438203441E-2</v>
      </c>
      <c r="J45" s="4">
        <f t="shared" si="2"/>
        <v>2.6366436790086892E-2</v>
      </c>
      <c r="K45" s="4">
        <f t="shared" si="2"/>
        <v>1.0261634441689363E-2</v>
      </c>
      <c r="M45" s="15">
        <f t="shared" si="3"/>
        <v>20523.268883378725</v>
      </c>
      <c r="N45" s="8">
        <f t="shared" si="4"/>
        <v>4.7319753849547324E-3</v>
      </c>
      <c r="O45" s="8">
        <f t="shared" si="5"/>
        <v>8.5141888206540117E-2</v>
      </c>
    </row>
    <row r="46" spans="1:15" x14ac:dyDescent="0.35">
      <c r="A46" t="s">
        <v>13</v>
      </c>
      <c r="B46" s="4">
        <f t="shared" si="2"/>
        <v>0.80527537726955611</v>
      </c>
      <c r="C46" s="4">
        <f t="shared" si="2"/>
        <v>0.57286447420540898</v>
      </c>
      <c r="D46" s="4">
        <f t="shared" si="2"/>
        <v>0.3265024050513764</v>
      </c>
      <c r="E46" s="4">
        <f t="shared" si="2"/>
        <v>0.15524293413990775</v>
      </c>
      <c r="F46" s="10">
        <f t="shared" si="2"/>
        <v>7.8866352978366111E-2</v>
      </c>
      <c r="G46" s="4">
        <f t="shared" si="2"/>
        <v>4.2651883905059765E-2</v>
      </c>
      <c r="H46" s="4">
        <f t="shared" si="2"/>
        <v>2.1627306785201174E-2</v>
      </c>
      <c r="I46" s="4">
        <f t="shared" si="2"/>
        <v>1.1572172780856566E-2</v>
      </c>
      <c r="J46" s="4">
        <f t="shared" si="2"/>
        <v>6.4339579121796501E-3</v>
      </c>
      <c r="K46" s="4">
        <f>K14+K28</f>
        <v>5.5621401699666694E-3</v>
      </c>
      <c r="M46" s="15">
        <f t="shared" si="3"/>
        <v>11124.280339933339</v>
      </c>
      <c r="N46" s="8">
        <f t="shared" si="4"/>
        <v>5.5621401699666694E-3</v>
      </c>
      <c r="O46" s="8">
        <f t="shared" si="5"/>
        <v>0.80527537726955611</v>
      </c>
    </row>
    <row r="47" spans="1:15" x14ac:dyDescent="0.35">
      <c r="F47" s="12">
        <f>SUM(F34:F46)</f>
        <v>0.99999998595122652</v>
      </c>
      <c r="M47" s="14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</dc:creator>
  <cp:lastModifiedBy>Justin Lake</cp:lastModifiedBy>
  <dcterms:created xsi:type="dcterms:W3CDTF">2026-01-15T04:09:51Z</dcterms:created>
  <dcterms:modified xsi:type="dcterms:W3CDTF">2026-01-16T03:17:45Z</dcterms:modified>
</cp:coreProperties>
</file>